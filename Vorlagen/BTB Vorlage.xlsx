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ay Demir\Downloads\"/>
    </mc:Choice>
  </mc:AlternateContent>
  <xr:revisionPtr revIDLastSave="0" documentId="13_ncr:1_{F4EE9468-F222-48D1-9E57-EA37DCB1EF35}" xr6:coauthVersionLast="47" xr6:coauthVersionMax="47" xr10:uidLastSave="{00000000-0000-0000-0000-000000000000}"/>
  <bookViews>
    <workbookView xWindow="-120" yWindow="-120" windowWidth="38640" windowHeight="21120" activeTab="5" xr2:uid="{DD840738-007E-4ED7-8B85-6ADD2996BF19}"/>
  </bookViews>
  <sheets>
    <sheet name="BTB 233" sheetId="7" r:id="rId1"/>
    <sheet name="BTB 232" sheetId="5" r:id="rId2"/>
    <sheet name="BTB 231" sheetId="4" r:id="rId3"/>
    <sheet name="BTB 230" sheetId="3" r:id="rId4"/>
    <sheet name="BTB 229" sheetId="2" r:id="rId5"/>
    <sheet name="BTB 228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3" l="1"/>
  <c r="O45" i="7"/>
  <c r="R16" i="7"/>
  <c r="N16" i="7"/>
  <c r="I16" i="7"/>
  <c r="D16" i="7"/>
  <c r="R15" i="7"/>
  <c r="N15" i="7"/>
  <c r="I15" i="7"/>
  <c r="D15" i="7"/>
  <c r="R14" i="7"/>
  <c r="N14" i="7"/>
  <c r="I14" i="7"/>
  <c r="D14" i="7"/>
  <c r="N13" i="7"/>
  <c r="I13" i="7"/>
  <c r="D13" i="7"/>
  <c r="G11" i="7"/>
  <c r="J2" i="7" a="1"/>
  <c r="J2" i="7" s="1"/>
  <c r="G11" i="1"/>
  <c r="G11" i="5"/>
  <c r="G11" i="4"/>
  <c r="O45" i="2"/>
  <c r="G11" i="2"/>
  <c r="O45" i="1"/>
  <c r="O45" i="5"/>
  <c r="O45" i="4"/>
  <c r="O45" i="3"/>
  <c r="R16" i="5"/>
  <c r="N16" i="5"/>
  <c r="I16" i="5"/>
  <c r="D16" i="5"/>
  <c r="R15" i="5"/>
  <c r="N15" i="5"/>
  <c r="I15" i="5"/>
  <c r="D15" i="5"/>
  <c r="R14" i="5"/>
  <c r="N14" i="5"/>
  <c r="I14" i="5"/>
  <c r="D14" i="5"/>
  <c r="N13" i="5"/>
  <c r="I13" i="5"/>
  <c r="D13" i="5"/>
  <c r="J2" i="5" a="1"/>
  <c r="J2" i="5" s="1"/>
  <c r="R16" i="4"/>
  <c r="N16" i="4"/>
  <c r="I16" i="4"/>
  <c r="D16" i="4"/>
  <c r="R15" i="4"/>
  <c r="N15" i="4"/>
  <c r="I15" i="4"/>
  <c r="D15" i="4"/>
  <c r="R14" i="4"/>
  <c r="N14" i="4"/>
  <c r="I14" i="4"/>
  <c r="D14" i="4"/>
  <c r="N13" i="4"/>
  <c r="I13" i="4"/>
  <c r="D13" i="4"/>
  <c r="J2" i="4" a="1"/>
  <c r="J2" i="4" s="1"/>
  <c r="R16" i="3"/>
  <c r="N16" i="3"/>
  <c r="I16" i="3"/>
  <c r="D16" i="3"/>
  <c r="R15" i="3"/>
  <c r="N15" i="3"/>
  <c r="I15" i="3"/>
  <c r="D15" i="3"/>
  <c r="R14" i="3"/>
  <c r="N14" i="3"/>
  <c r="I14" i="3"/>
  <c r="D14" i="3"/>
  <c r="N13" i="3"/>
  <c r="I13" i="3"/>
  <c r="D13" i="3"/>
  <c r="J2" i="3" a="1"/>
  <c r="J2" i="3" s="1"/>
  <c r="R16" i="2"/>
  <c r="N16" i="2"/>
  <c r="I16" i="2"/>
  <c r="D16" i="2"/>
  <c r="R15" i="2"/>
  <c r="N15" i="2"/>
  <c r="I15" i="2"/>
  <c r="D15" i="2"/>
  <c r="R14" i="2"/>
  <c r="N14" i="2"/>
  <c r="I14" i="2"/>
  <c r="D14" i="2"/>
  <c r="N13" i="2"/>
  <c r="I13" i="2"/>
  <c r="D13" i="2"/>
  <c r="J2" i="2" a="1"/>
  <c r="J2" i="2" s="1"/>
  <c r="J2" i="1" a="1"/>
  <c r="J2" i="1" s="1"/>
  <c r="I14" i="1"/>
  <c r="I15" i="1"/>
  <c r="I16" i="1"/>
  <c r="I13" i="1"/>
  <c r="R16" i="1"/>
  <c r="R15" i="1"/>
  <c r="R14" i="1"/>
  <c r="N16" i="1"/>
  <c r="N15" i="1"/>
  <c r="N14" i="1"/>
  <c r="N13" i="1"/>
  <c r="D14" i="1"/>
  <c r="D13" i="1"/>
  <c r="D16" i="1"/>
  <c r="D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<sst xmlns="http://schemas.openxmlformats.org/spreadsheetml/2006/main" count="567" uniqueCount="73">
  <si>
    <t>Verantwortlicher Bauführer / Bauleiter:</t>
  </si>
  <si>
    <t>Bautagesbericht</t>
  </si>
  <si>
    <t>Nr.:</t>
  </si>
  <si>
    <t>Datum:</t>
  </si>
  <si>
    <t>Projekt:</t>
  </si>
  <si>
    <t>Bauteil:</t>
  </si>
  <si>
    <t>Achse:</t>
  </si>
  <si>
    <t>/</t>
  </si>
  <si>
    <t>Ebene:</t>
  </si>
  <si>
    <t>Gewerk:</t>
  </si>
  <si>
    <t>Trockenbau</t>
  </si>
  <si>
    <t>Witterung:</t>
  </si>
  <si>
    <t>Sonne</t>
  </si>
  <si>
    <t>Wind</t>
  </si>
  <si>
    <t>Regen</t>
  </si>
  <si>
    <t>Schnee</t>
  </si>
  <si>
    <t>Frost</t>
  </si>
  <si>
    <r>
      <t xml:space="preserve">wechselhaft (Sonne / </t>
    </r>
    <r>
      <rPr>
        <b/>
        <sz val="9"/>
        <rFont val="Arial"/>
        <family val="2"/>
      </rPr>
      <t>Wolken</t>
    </r>
    <r>
      <rPr>
        <sz val="9"/>
        <rFont val="Arial"/>
        <family val="2"/>
      </rPr>
      <t xml:space="preserve"> / Regen)</t>
    </r>
  </si>
  <si>
    <t>°C</t>
  </si>
  <si>
    <t>Temperatur</t>
  </si>
  <si>
    <t>X</t>
  </si>
  <si>
    <t>Arbeitszeit von / bis</t>
  </si>
  <si>
    <t>07:00 - 17:00</t>
  </si>
  <si>
    <t>Projektleiter</t>
  </si>
  <si>
    <t>Std.</t>
  </si>
  <si>
    <t>Spezialbau-FA</t>
  </si>
  <si>
    <t>Baufachwerker</t>
  </si>
  <si>
    <t xml:space="preserve">Fremdfirmen </t>
  </si>
  <si>
    <t>Bauleiter</t>
  </si>
  <si>
    <t>Werkpolier</t>
  </si>
  <si>
    <t>Bauwerker</t>
  </si>
  <si>
    <t>Polier</t>
  </si>
  <si>
    <t>Bauvorarbeiter</t>
  </si>
  <si>
    <t>Maschinist</t>
  </si>
  <si>
    <t>gehob. Bau-FA</t>
  </si>
  <si>
    <t>Bau-FA</t>
  </si>
  <si>
    <t>Kranfahrer</t>
  </si>
  <si>
    <t>Anzahl der beschäftigten Arbeiter:</t>
  </si>
  <si>
    <t>(Ausführung lt. Index AD-AF)</t>
  </si>
  <si>
    <t>BEHINDERUNGEN / ERSCHWERNISSE:</t>
  </si>
  <si>
    <t>LEISTUNGSÄNDERUNGEN:</t>
  </si>
  <si>
    <t>LEISTUNGSERGEBNISSE:</t>
  </si>
  <si>
    <t>BESONDERE VORKOMMNISSE:</t>
  </si>
  <si>
    <t>Ort / Datum:</t>
  </si>
  <si>
    <t>München</t>
  </si>
  <si>
    <t>Unterschrift des Bauherrn / Stellvertreters</t>
  </si>
  <si>
    <t>Unterschrift des Bauführers / Bauleiters</t>
  </si>
  <si>
    <t>BMW Nordspange München</t>
  </si>
  <si>
    <t>Demir</t>
  </si>
  <si>
    <t>G050.0</t>
  </si>
  <si>
    <t>JJ</t>
  </si>
  <si>
    <t>BMW TMO TLO München</t>
  </si>
  <si>
    <t>DD</t>
  </si>
  <si>
    <t>AA</t>
  </si>
  <si>
    <t>5-16</t>
  </si>
  <si>
    <t>EG - Z3</t>
  </si>
  <si>
    <t>schließen, Z1 Umkleide West</t>
  </si>
  <si>
    <t xml:space="preserve">Mängelbehebung, Z1 </t>
  </si>
  <si>
    <t>CUBO aufstellen, Z3 DD A13-14</t>
  </si>
  <si>
    <t>Spachtelarbeiten, Z1, E1 und E2</t>
  </si>
  <si>
    <t>Stahl UK aufstellen, E2 AA A6-7</t>
  </si>
  <si>
    <t>E0 JJ A9-10, schließen nicht möglich - Isolierung nicht fertig</t>
  </si>
  <si>
    <t>CUBO aufstellen, Z3 JJ A15 und A17</t>
  </si>
  <si>
    <t>schließen, Z2 DD A18-19</t>
  </si>
  <si>
    <t>schließen, Z1 DD A19-20</t>
  </si>
  <si>
    <t>Spachtelarbeiten, Z1, Z2 und E2</t>
  </si>
  <si>
    <t xml:space="preserve">Mängelbehebung, Z1 und E1 </t>
  </si>
  <si>
    <t>CUBO schließen, Z3 DD A13-14</t>
  </si>
  <si>
    <t>Trapezdecke, E2 AA A5-6</t>
  </si>
  <si>
    <t>schließen, E1 JJ A9-10</t>
  </si>
  <si>
    <t>Spachtelarbeiten, E0, Z1, Z2 und E2</t>
  </si>
  <si>
    <t xml:space="preserve">Mängelbehebung, E1 </t>
  </si>
  <si>
    <t>Trapezdecke, E2 AA A6-7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</si>
</sst>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€&quot;\ #,##0.00"/>
    <numFmt numFmtId="165" formatCode="0.0"/>
    <numFmt numFmtId="166" formatCode="0.00,&quot; Std.&quot;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111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/>
    <xf numFmtId="0" fontId="1" fillId="0" borderId="10" xfId="0" applyFont="1" applyBorder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7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7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2" fontId="8" fillId="0" borderId="4" xfId="0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" fontId="7" fillId="0" borderId="2" xfId="0" applyNumberFormat="1" applyFont="1" applyBorder="1" applyAlignment="1">
      <alignment vertical="center"/>
    </xf>
    <xf numFmtId="4" fontId="7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vertical="top"/>
    </xf>
    <xf numFmtId="0" fontId="7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top"/>
    </xf>
    <xf numFmtId="4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8" fillId="0" borderId="5" xfId="0" applyFont="1" applyBorder="1" applyAlignment="1">
      <alignment vertical="center"/>
    </xf>
    <xf numFmtId="164" fontId="4" fillId="0" borderId="5" xfId="0" applyNumberFormat="1" applyFont="1" applyBorder="1" applyAlignment="1">
      <alignment vertical="center"/>
    </xf>
    <xf numFmtId="165" fontId="4" fillId="0" borderId="0" xfId="0" applyNumberFormat="1" applyFont="1" applyAlignment="1">
      <alignment vertical="center"/>
    </xf>
    <xf numFmtId="2" fontId="8" fillId="0" borderId="6" xfId="0" applyNumberFormat="1" applyFont="1" applyBorder="1" applyAlignment="1">
      <alignment vertical="center"/>
    </xf>
    <xf numFmtId="1" fontId="4" fillId="0" borderId="7" xfId="0" applyNumberFormat="1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4" fontId="4" fillId="0" borderId="7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165" fontId="4" fillId="0" borderId="7" xfId="0" applyNumberFormat="1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166" fontId="4" fillId="0" borderId="7" xfId="0" applyNumberFormat="1" applyFont="1" applyBorder="1" applyAlignment="1">
      <alignment vertical="center"/>
    </xf>
    <xf numFmtId="166" fontId="4" fillId="0" borderId="8" xfId="0" applyNumberFormat="1" applyFont="1" applyBorder="1" applyAlignment="1">
      <alignment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9" xfId="0" applyFont="1" applyBorder="1" applyAlignment="1">
      <alignment vertical="center"/>
    </xf>
    <xf numFmtId="0" fontId="1" fillId="0" borderId="11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vertical="center"/>
    </xf>
    <xf numFmtId="0" fontId="3" fillId="0" borderId="9" xfId="0" applyFont="1" applyBorder="1" applyAlignment="1">
      <alignment horizontal="right" vertical="center"/>
    </xf>
    <xf numFmtId="0" fontId="6" fillId="0" borderId="11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right" vertical="center"/>
    </xf>
    <xf numFmtId="0" fontId="9" fillId="0" borderId="11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1" xfId="0" applyFont="1" applyBorder="1"/>
    <xf numFmtId="0" fontId="3" fillId="0" borderId="4" xfId="0" applyFont="1" applyBorder="1"/>
    <xf numFmtId="0" fontId="3" fillId="0" borderId="5" xfId="0" applyFont="1" applyBorder="1"/>
    <xf numFmtId="0" fontId="6" fillId="0" borderId="1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49" fontId="7" fillId="0" borderId="9" xfId="0" applyNumberFormat="1" applyFont="1" applyBorder="1" applyAlignment="1">
      <alignment vertical="center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1" fillId="0" borderId="1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4" fontId="1" fillId="0" borderId="11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11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0" fontId="7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left" vertical="center"/>
    </xf>
    <xf numFmtId="164" fontId="6" fillId="0" borderId="8" xfId="0" applyNumberFormat="1" applyFont="1" applyBorder="1" applyAlignment="1">
      <alignment horizontal="left" vertical="center"/>
    </xf>
    <xf numFmtId="4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3" fillId="0" borderId="9" xfId="0" applyFont="1" applyBorder="1" applyAlignment="1">
      <alignment horizontal="right" vertical="center"/>
    </xf>
    <xf numFmtId="14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</cellXfs>
  <cellStyles count="2">
    <cellStyle name="Standard" xfId="0" builtinId="0"/>
    <cellStyle name="Standard 2" xfId="1" xr:uid="{DAD481A1-AB4E-4933-AF80-62E3D5DDCC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6A10A-0825-4C11-9AA0-871E40518C7B}">
  <sheetPr>
    <pageSetUpPr fitToPage="1"/>
  </sheetPr>
  <dimension ref="A1:S50"/>
  <sheetViews>
    <sheetView view="pageLayout" zoomScale="140" zoomScaleNormal="100" zoomScalePageLayoutView="140" workbookViewId="0">
      <selection activeCell="Q3" sqref="Q3"/>
    </sheetView>
  </sheetViews>
  <sheetFormatPr baseColWidth="10" defaultColWidth="11.42578125" defaultRowHeight="14.25" x14ac:dyDescent="0.2"/>
  <cols>
    <col min="1" max="8" width="4.85546875" style="1" customWidth="1"/>
    <col min="9" max="9" width="6.7109375" style="1" customWidth="1"/>
    <col min="10" max="19" width="4.85546875" style="1" customWidth="1"/>
    <col min="20" max="16384" width="11.42578125" style="1"/>
  </cols>
  <sheetData>
    <row r="1" spans="1:19" ht="21" customHeight="1" x14ac:dyDescent="0.2">
      <c r="A1" s="101" t="s">
        <v>0</v>
      </c>
      <c r="B1" s="102"/>
      <c r="C1" s="102"/>
      <c r="D1" s="102"/>
      <c r="E1" s="102"/>
      <c r="F1" s="11"/>
      <c r="G1" s="11"/>
      <c r="H1" s="103" t="s">
        <v>48</v>
      </c>
      <c r="I1" s="103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 ht="23.25" customHeight="1" x14ac:dyDescent="0.2">
      <c r="A2" s="62" t="s">
        <v>1</v>
      </c>
      <c r="B2" s="63"/>
      <c r="C2" s="63"/>
      <c r="D2" s="63"/>
      <c r="E2" s="59"/>
      <c r="F2" s="59"/>
      <c r="G2" s="59"/>
      <c r="H2" s="59"/>
      <c r="I2" s="60" t="s">
        <v>2</v>
      </c>
      <c r="J2" s="73" t="str" cm="1">
        <f t="array" aca="1" ref="J2" ca="1">MID(CELL("dateiname",J2),FIND("]",CELL("dateiname",J2))+4,31)</f>
        <v xml:space="preserve"> 233</v>
      </c>
      <c r="K2" s="73"/>
      <c r="L2" s="59"/>
      <c r="M2" s="59"/>
      <c r="N2" s="59"/>
      <c r="O2" s="104" t="s">
        <v>3</v>
      </c>
      <c r="P2" s="104"/>
      <c r="Q2" s="105">
        <v>45794</v>
      </c>
      <c r="R2" s="106"/>
      <c r="S2" s="107"/>
    </row>
    <row r="3" spans="1:19" s="13" customFormat="1" ht="28.5" customHeight="1" x14ac:dyDescent="0.25">
      <c r="A3" s="108" t="s">
        <v>4</v>
      </c>
      <c r="B3" s="109"/>
      <c r="C3" s="110" t="s">
        <v>47</v>
      </c>
      <c r="D3" s="110"/>
      <c r="E3" s="110"/>
      <c r="F3" s="110"/>
      <c r="G3" s="110"/>
      <c r="H3" s="110"/>
      <c r="I3" s="110"/>
      <c r="J3" s="110"/>
      <c r="K3" s="110"/>
      <c r="L3" s="15"/>
      <c r="S3" s="14"/>
    </row>
    <row r="4" spans="1:19" x14ac:dyDescent="0.2">
      <c r="A4" s="88" t="s">
        <v>5</v>
      </c>
      <c r="B4" s="89"/>
      <c r="C4" s="90" t="s">
        <v>49</v>
      </c>
      <c r="D4" s="90"/>
      <c r="E4" s="65" t="s">
        <v>6</v>
      </c>
      <c r="F4" s="55" t="s">
        <v>50</v>
      </c>
      <c r="G4" s="64" t="s">
        <v>7</v>
      </c>
      <c r="H4" s="74" t="s">
        <v>54</v>
      </c>
      <c r="I4" s="66" t="s">
        <v>8</v>
      </c>
      <c r="J4" s="90" t="s">
        <v>55</v>
      </c>
      <c r="K4" s="90"/>
      <c r="L4" s="90"/>
      <c r="M4" s="91" t="s">
        <v>9</v>
      </c>
      <c r="N4" s="91"/>
      <c r="O4" s="90" t="s">
        <v>10</v>
      </c>
      <c r="P4" s="90"/>
      <c r="Q4" s="90"/>
      <c r="R4" s="90"/>
      <c r="S4" s="92"/>
    </row>
    <row r="5" spans="1:19" x14ac:dyDescent="0.2">
      <c r="A5" s="88" t="s">
        <v>5</v>
      </c>
      <c r="B5" s="89"/>
      <c r="C5" s="90" t="s">
        <v>49</v>
      </c>
      <c r="D5" s="90"/>
      <c r="E5" s="65" t="s">
        <v>6</v>
      </c>
      <c r="F5" s="55" t="s">
        <v>52</v>
      </c>
      <c r="G5" s="64" t="s">
        <v>7</v>
      </c>
      <c r="H5" s="74" t="s">
        <v>54</v>
      </c>
      <c r="I5" s="66" t="s">
        <v>8</v>
      </c>
      <c r="J5" s="90" t="s">
        <v>55</v>
      </c>
      <c r="K5" s="90"/>
      <c r="L5" s="90"/>
      <c r="M5" s="91" t="s">
        <v>9</v>
      </c>
      <c r="N5" s="91"/>
      <c r="O5" s="90" t="s">
        <v>10</v>
      </c>
      <c r="P5" s="90"/>
      <c r="Q5" s="90"/>
      <c r="R5" s="90"/>
      <c r="S5" s="92"/>
    </row>
    <row r="6" spans="1:19" x14ac:dyDescent="0.2">
      <c r="A6" s="88" t="s">
        <v>5</v>
      </c>
      <c r="B6" s="89"/>
      <c r="C6" s="90" t="s">
        <v>49</v>
      </c>
      <c r="D6" s="90"/>
      <c r="E6" s="65" t="s">
        <v>6</v>
      </c>
      <c r="F6" s="55" t="s">
        <v>53</v>
      </c>
      <c r="G6" s="64" t="s">
        <v>7</v>
      </c>
      <c r="H6" s="74" t="s">
        <v>54</v>
      </c>
      <c r="I6" s="66" t="s">
        <v>8</v>
      </c>
      <c r="J6" s="90" t="s">
        <v>55</v>
      </c>
      <c r="K6" s="90"/>
      <c r="L6" s="90"/>
      <c r="M6" s="91" t="s">
        <v>9</v>
      </c>
      <c r="N6" s="91"/>
      <c r="O6" s="90" t="s">
        <v>10</v>
      </c>
      <c r="P6" s="90"/>
      <c r="Q6" s="90"/>
      <c r="R6" s="90"/>
      <c r="S6" s="92"/>
    </row>
    <row r="7" spans="1:19" ht="6" customHeight="1" x14ac:dyDescent="0.2">
      <c r="B7" s="16"/>
      <c r="S7" s="5"/>
    </row>
    <row r="8" spans="1:19" s="13" customFormat="1" ht="17.100000000000001" customHeight="1" x14ac:dyDescent="0.25">
      <c r="A8" s="93" t="s">
        <v>11</v>
      </c>
      <c r="B8" s="94"/>
      <c r="C8" s="11"/>
      <c r="D8" s="17"/>
      <c r="E8" s="18" t="b">
        <v>0</v>
      </c>
      <c r="F8" s="19" t="s">
        <v>12</v>
      </c>
      <c r="G8" s="11"/>
      <c r="H8" s="11"/>
      <c r="I8" s="19" t="s">
        <v>14</v>
      </c>
      <c r="J8" s="11"/>
      <c r="K8" s="11"/>
      <c r="L8" s="18" t="b">
        <v>0</v>
      </c>
      <c r="M8" s="19" t="s">
        <v>16</v>
      </c>
      <c r="N8" s="11"/>
      <c r="O8" s="11"/>
      <c r="P8" s="20" t="s">
        <v>19</v>
      </c>
      <c r="Q8" s="11"/>
      <c r="R8" s="24" t="s">
        <v>20</v>
      </c>
      <c r="S8" s="12" t="s">
        <v>18</v>
      </c>
    </row>
    <row r="9" spans="1:19" s="13" customFormat="1" ht="17.100000000000001" customHeight="1" x14ac:dyDescent="0.25">
      <c r="A9" s="95"/>
      <c r="B9" s="96"/>
      <c r="C9" s="21"/>
      <c r="D9" s="21"/>
      <c r="E9" s="22" t="b">
        <v>0</v>
      </c>
      <c r="F9" s="23" t="s">
        <v>13</v>
      </c>
      <c r="G9" s="21"/>
      <c r="H9" s="21"/>
      <c r="I9" s="23" t="s">
        <v>15</v>
      </c>
      <c r="J9" s="21"/>
      <c r="K9" s="21"/>
      <c r="L9" s="22" t="b">
        <v>1</v>
      </c>
      <c r="M9" s="97" t="s">
        <v>17</v>
      </c>
      <c r="N9" s="97"/>
      <c r="O9" s="97"/>
      <c r="P9" s="97"/>
      <c r="Q9" s="97"/>
      <c r="R9" s="97"/>
      <c r="S9" s="98"/>
    </row>
    <row r="10" spans="1:19" ht="7.5" customHeight="1" x14ac:dyDescent="0.2">
      <c r="A10" s="4"/>
      <c r="S10" s="5"/>
    </row>
    <row r="11" spans="1:19" x14ac:dyDescent="0.2">
      <c r="A11" s="31" t="s">
        <v>37</v>
      </c>
      <c r="B11" s="17"/>
      <c r="C11" s="17"/>
      <c r="D11" s="17"/>
      <c r="E11" s="17"/>
      <c r="F11" s="32"/>
      <c r="G11" s="99">
        <f>F13</f>
        <v>59</v>
      </c>
      <c r="H11" s="99"/>
      <c r="I11" s="33"/>
      <c r="J11" s="34"/>
      <c r="K11" s="2"/>
      <c r="L11" s="17" t="s">
        <v>21</v>
      </c>
      <c r="M11" s="35"/>
      <c r="N11" s="35"/>
      <c r="O11" s="17"/>
      <c r="P11" s="100" t="s">
        <v>22</v>
      </c>
      <c r="Q11" s="100"/>
      <c r="R11" s="100"/>
      <c r="S11" s="3"/>
    </row>
    <row r="12" spans="1:19" x14ac:dyDescent="0.2">
      <c r="A12" s="36"/>
      <c r="B12" s="37"/>
      <c r="C12" s="37"/>
      <c r="D12" s="37"/>
      <c r="E12" s="37"/>
      <c r="F12" s="25"/>
      <c r="G12" s="25"/>
      <c r="H12" s="25"/>
      <c r="I12" s="25"/>
      <c r="J12" s="25"/>
      <c r="K12" s="37"/>
      <c r="L12" s="38"/>
      <c r="M12" s="38"/>
      <c r="N12" s="38"/>
      <c r="O12" s="25"/>
      <c r="P12" s="25"/>
      <c r="Q12" s="25"/>
      <c r="R12" s="25"/>
      <c r="S12" s="5"/>
    </row>
    <row r="13" spans="1:19" s="28" customFormat="1" ht="12.95" customHeight="1" x14ac:dyDescent="0.25">
      <c r="A13" s="30">
        <v>0</v>
      </c>
      <c r="B13" s="26" t="s">
        <v>23</v>
      </c>
      <c r="D13" s="39" t="str">
        <f>IF(A13&gt;0,A13*9,"0")</f>
        <v>0</v>
      </c>
      <c r="E13" s="39" t="s">
        <v>24</v>
      </c>
      <c r="F13" s="30">
        <v>59</v>
      </c>
      <c r="G13" s="26" t="s">
        <v>25</v>
      </c>
      <c r="H13" s="40"/>
      <c r="I13" s="39">
        <f>IF(F13&gt;0,F13*9,"0")</f>
        <v>531</v>
      </c>
      <c r="J13" s="39" t="s">
        <v>24</v>
      </c>
      <c r="K13" s="30">
        <v>0</v>
      </c>
      <c r="L13" s="27" t="s">
        <v>26</v>
      </c>
      <c r="M13" s="27"/>
      <c r="N13" s="39" t="str">
        <f>IF(K13&gt;0,K13*9,"0")</f>
        <v>0</v>
      </c>
      <c r="O13" s="29" t="s">
        <v>24</v>
      </c>
      <c r="P13" s="30"/>
      <c r="Q13" s="29" t="s">
        <v>27</v>
      </c>
      <c r="R13" s="29"/>
      <c r="S13" s="41"/>
    </row>
    <row r="14" spans="1:19" s="28" customFormat="1" ht="11.25" x14ac:dyDescent="0.25">
      <c r="A14" s="30">
        <v>0</v>
      </c>
      <c r="B14" s="26" t="s">
        <v>28</v>
      </c>
      <c r="D14" s="39" t="str">
        <f>IF(A14&gt;0,A14*9,"0")</f>
        <v>0</v>
      </c>
      <c r="E14" s="39" t="s">
        <v>24</v>
      </c>
      <c r="F14" s="30">
        <v>0</v>
      </c>
      <c r="G14" s="26" t="s">
        <v>29</v>
      </c>
      <c r="H14" s="39"/>
      <c r="I14" s="39" t="str">
        <f t="shared" ref="I14:I16" si="0">IF(F14&gt;0,F14*9,"0")</f>
        <v>0</v>
      </c>
      <c r="J14" s="39" t="s">
        <v>24</v>
      </c>
      <c r="K14" s="30">
        <v>0</v>
      </c>
      <c r="L14" s="27" t="s">
        <v>30</v>
      </c>
      <c r="M14" s="27"/>
      <c r="N14" s="39" t="str">
        <f>IF(K14&gt;0,K14*9,"0")</f>
        <v>0</v>
      </c>
      <c r="O14" s="29" t="s">
        <v>24</v>
      </c>
      <c r="P14" s="30">
        <v>0</v>
      </c>
      <c r="Q14" s="29"/>
      <c r="R14" s="39" t="str">
        <f>IF(P14&gt;0,P14*9,"0")</f>
        <v>0</v>
      </c>
      <c r="S14" s="42" t="s">
        <v>24</v>
      </c>
    </row>
    <row r="15" spans="1:19" s="28" customFormat="1" ht="11.25" x14ac:dyDescent="0.25">
      <c r="A15" s="30">
        <v>0</v>
      </c>
      <c r="B15" s="26" t="s">
        <v>31</v>
      </c>
      <c r="D15" s="39" t="str">
        <f>IF(A15&gt;0,A15*9,"0")</f>
        <v>0</v>
      </c>
      <c r="E15" s="39" t="s">
        <v>24</v>
      </c>
      <c r="F15" s="30">
        <v>0</v>
      </c>
      <c r="G15" s="26" t="s">
        <v>32</v>
      </c>
      <c r="H15" s="39"/>
      <c r="I15" s="39" t="str">
        <f t="shared" si="0"/>
        <v>0</v>
      </c>
      <c r="J15" s="39" t="s">
        <v>24</v>
      </c>
      <c r="K15" s="30">
        <v>0</v>
      </c>
      <c r="L15" s="43" t="s">
        <v>33</v>
      </c>
      <c r="M15" s="43"/>
      <c r="N15" s="39" t="str">
        <f>IF(K15&gt;0,K15*9,"0")</f>
        <v>0</v>
      </c>
      <c r="O15" s="29" t="s">
        <v>24</v>
      </c>
      <c r="P15" s="30">
        <v>0</v>
      </c>
      <c r="Q15" s="29"/>
      <c r="R15" s="39" t="str">
        <f>IF(P15&gt;0,P15*9,"0")</f>
        <v>0</v>
      </c>
      <c r="S15" s="42" t="s">
        <v>24</v>
      </c>
    </row>
    <row r="16" spans="1:19" s="28" customFormat="1" ht="11.25" x14ac:dyDescent="0.25">
      <c r="A16" s="44">
        <v>0</v>
      </c>
      <c r="B16" s="45" t="s">
        <v>34</v>
      </c>
      <c r="C16" s="46"/>
      <c r="D16" s="47" t="str">
        <f>IF(A16&gt;0,A16*9,"0")</f>
        <v>0</v>
      </c>
      <c r="E16" s="47" t="s">
        <v>24</v>
      </c>
      <c r="F16" s="44">
        <v>0</v>
      </c>
      <c r="G16" s="48" t="s">
        <v>35</v>
      </c>
      <c r="H16" s="47"/>
      <c r="I16" s="47" t="str">
        <f t="shared" si="0"/>
        <v>0</v>
      </c>
      <c r="J16" s="47" t="s">
        <v>24</v>
      </c>
      <c r="K16" s="44">
        <v>0</v>
      </c>
      <c r="L16" s="49" t="s">
        <v>36</v>
      </c>
      <c r="M16" s="49"/>
      <c r="N16" s="47" t="str">
        <f>IF(K16&gt;0,K16*9,"0")</f>
        <v>0</v>
      </c>
      <c r="O16" s="50" t="s">
        <v>24</v>
      </c>
      <c r="P16" s="44">
        <v>0</v>
      </c>
      <c r="Q16" s="51"/>
      <c r="R16" s="47" t="str">
        <f>IF(P16&gt;0,P16*9,"0")</f>
        <v>0</v>
      </c>
      <c r="S16" s="52" t="s">
        <v>24</v>
      </c>
    </row>
    <row r="17" spans="1:19" ht="6" customHeight="1" x14ac:dyDescent="0.2"/>
    <row r="18" spans="1:19" x14ac:dyDescent="0.2">
      <c r="A18" s="67" t="s">
        <v>41</v>
      </c>
      <c r="B18" s="53"/>
      <c r="C18" s="53"/>
      <c r="D18" s="53"/>
      <c r="E18" s="54"/>
      <c r="F18" s="56" t="s">
        <v>38</v>
      </c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8"/>
    </row>
    <row r="19" spans="1:19" x14ac:dyDescent="0.2">
      <c r="A19" s="78" t="s">
        <v>56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80"/>
    </row>
    <row r="20" spans="1:19" x14ac:dyDescent="0.2">
      <c r="A20" s="78" t="s">
        <v>69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80"/>
    </row>
    <row r="21" spans="1:19" x14ac:dyDescent="0.2">
      <c r="A21" s="78" t="s">
        <v>70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80"/>
    </row>
    <row r="22" spans="1:19" x14ac:dyDescent="0.2">
      <c r="A22" s="78" t="s">
        <v>71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80"/>
    </row>
    <row r="23" spans="1:19" x14ac:dyDescent="0.2">
      <c r="A23" s="78" t="s">
        <v>62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80"/>
    </row>
    <row r="24" spans="1:19" x14ac:dyDescent="0.2">
      <c r="A24" s="78" t="s">
        <v>67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80"/>
    </row>
    <row r="25" spans="1:19" x14ac:dyDescent="0.2">
      <c r="A25" s="78" t="s">
        <v>72</v>
      </c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80"/>
    </row>
    <row r="26" spans="1:19" x14ac:dyDescent="0.2">
      <c r="A26" s="78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80"/>
    </row>
    <row r="27" spans="1:19" x14ac:dyDescent="0.2">
      <c r="A27" s="85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7"/>
    </row>
    <row r="28" spans="1:19" ht="5.25" customHeight="1" x14ac:dyDescent="0.2"/>
    <row r="29" spans="1:19" x14ac:dyDescent="0.2">
      <c r="A29" s="69" t="s">
        <v>39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3"/>
    </row>
    <row r="30" spans="1:19" x14ac:dyDescent="0.2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80"/>
    </row>
    <row r="31" spans="1:19" x14ac:dyDescent="0.2">
      <c r="A31" s="78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80"/>
    </row>
    <row r="32" spans="1:19" x14ac:dyDescent="0.2">
      <c r="A32" s="78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80"/>
    </row>
    <row r="33" spans="1:19" x14ac:dyDescent="0.2">
      <c r="A33" s="78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80"/>
    </row>
    <row r="34" spans="1:19" x14ac:dyDescent="0.2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80"/>
    </row>
    <row r="35" spans="1:19" x14ac:dyDescent="0.2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7"/>
    </row>
    <row r="36" spans="1:19" ht="4.5" customHeight="1" x14ac:dyDescent="0.2"/>
    <row r="37" spans="1:19" x14ac:dyDescent="0.2">
      <c r="A37" s="69" t="s">
        <v>40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3"/>
    </row>
    <row r="38" spans="1:19" x14ac:dyDescent="0.2">
      <c r="A38" s="78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80"/>
    </row>
    <row r="39" spans="1:19" x14ac:dyDescent="0.2">
      <c r="A39" s="75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7"/>
    </row>
    <row r="40" spans="1:19" ht="4.5" customHeight="1" x14ac:dyDescent="0.2"/>
    <row r="41" spans="1:19" x14ac:dyDescent="0.2">
      <c r="A41" s="69" t="s">
        <v>42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</row>
    <row r="42" spans="1:19" x14ac:dyDescent="0.2">
      <c r="A42" s="78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80"/>
    </row>
    <row r="43" spans="1:19" x14ac:dyDescent="0.2">
      <c r="A43" s="75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7"/>
    </row>
    <row r="44" spans="1:19" ht="6" customHeight="1" x14ac:dyDescent="0.2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</row>
    <row r="45" spans="1:19" x14ac:dyDescent="0.2">
      <c r="A45" s="61" t="s">
        <v>43</v>
      </c>
      <c r="B45" s="10"/>
      <c r="C45" s="81"/>
      <c r="D45" s="82"/>
      <c r="E45" s="83"/>
      <c r="F45" s="81"/>
      <c r="G45" s="82"/>
      <c r="H45" s="82"/>
      <c r="I45" s="83"/>
      <c r="J45" s="61" t="s">
        <v>43</v>
      </c>
      <c r="K45" s="10"/>
      <c r="L45" s="81" t="s">
        <v>44</v>
      </c>
      <c r="M45" s="82"/>
      <c r="N45" s="83"/>
      <c r="O45" s="84">
        <f>Q2</f>
        <v>45794</v>
      </c>
      <c r="P45" s="82"/>
      <c r="Q45" s="82"/>
      <c r="R45" s="82"/>
      <c r="S45" s="83"/>
    </row>
    <row r="46" spans="1:19" x14ac:dyDescent="0.2">
      <c r="A46" s="72" t="s">
        <v>45</v>
      </c>
      <c r="B46" s="2"/>
      <c r="C46" s="2"/>
      <c r="D46" s="2"/>
      <c r="E46" s="2"/>
      <c r="F46" s="2"/>
      <c r="G46" s="2"/>
      <c r="H46" s="2"/>
      <c r="I46" s="3"/>
      <c r="J46" s="72" t="s">
        <v>46</v>
      </c>
      <c r="K46" s="2"/>
      <c r="L46" s="2"/>
      <c r="M46" s="2"/>
      <c r="N46" s="2"/>
      <c r="O46" s="2"/>
      <c r="P46" s="2"/>
      <c r="Q46" s="2"/>
      <c r="R46" s="2"/>
      <c r="S46" s="3"/>
    </row>
    <row r="47" spans="1:19" x14ac:dyDescent="0.2">
      <c r="A47" s="70"/>
      <c r="B47" s="9"/>
      <c r="C47" s="9"/>
      <c r="D47" s="9"/>
      <c r="E47" s="9"/>
      <c r="F47" s="9"/>
      <c r="G47" s="9"/>
      <c r="H47" s="9"/>
      <c r="I47" s="71"/>
      <c r="J47" s="70"/>
      <c r="K47" s="9"/>
      <c r="L47" s="9"/>
      <c r="M47" s="9"/>
      <c r="N47" s="9"/>
      <c r="O47" s="9"/>
      <c r="P47" s="9"/>
      <c r="Q47" s="9"/>
      <c r="R47" s="9"/>
      <c r="S47" s="71"/>
    </row>
    <row r="48" spans="1:19" x14ac:dyDescent="0.2">
      <c r="A48" s="70"/>
      <c r="B48" s="9"/>
      <c r="C48" s="9"/>
      <c r="D48" s="9"/>
      <c r="E48" s="9"/>
      <c r="F48" s="9"/>
      <c r="G48" s="9"/>
      <c r="H48" s="9"/>
      <c r="I48" s="71"/>
      <c r="J48" s="70"/>
      <c r="K48" s="9"/>
      <c r="L48" s="9"/>
      <c r="M48" s="9"/>
      <c r="N48" s="9"/>
      <c r="O48" s="9"/>
      <c r="P48" s="9"/>
      <c r="Q48" s="9"/>
      <c r="R48" s="9"/>
      <c r="S48" s="71"/>
    </row>
    <row r="49" spans="1:19" x14ac:dyDescent="0.2">
      <c r="A49" s="70"/>
      <c r="B49" s="9"/>
      <c r="C49" s="9"/>
      <c r="D49" s="9"/>
      <c r="E49" s="9"/>
      <c r="F49" s="9"/>
      <c r="G49" s="9"/>
      <c r="H49" s="9"/>
      <c r="I49" s="71"/>
      <c r="J49" s="70"/>
      <c r="K49" s="9"/>
      <c r="L49" s="9"/>
      <c r="M49" s="9"/>
      <c r="N49" s="9"/>
      <c r="O49" s="9"/>
      <c r="P49" s="9"/>
      <c r="Q49" s="9"/>
      <c r="R49" s="9"/>
      <c r="S49" s="71"/>
    </row>
    <row r="50" spans="1:19" x14ac:dyDescent="0.2">
      <c r="A50" s="6"/>
      <c r="B50" s="7"/>
      <c r="C50" s="7"/>
      <c r="D50" s="7"/>
      <c r="E50" s="7"/>
      <c r="F50" s="7"/>
      <c r="G50" s="7"/>
      <c r="H50" s="7"/>
      <c r="I50" s="8"/>
      <c r="J50" s="6"/>
      <c r="K50" s="7"/>
      <c r="L50" s="7"/>
      <c r="M50" s="7"/>
      <c r="N50" s="7"/>
      <c r="O50" s="7"/>
      <c r="P50" s="7"/>
      <c r="Q50" s="7"/>
      <c r="R50" s="7"/>
      <c r="S50" s="8"/>
    </row>
  </sheetData>
  <mergeCells count="48">
    <mergeCell ref="A1:E1"/>
    <mergeCell ref="H1:I1"/>
    <mergeCell ref="O2:P2"/>
    <mergeCell ref="Q2:S2"/>
    <mergeCell ref="A3:B3"/>
    <mergeCell ref="C3:K3"/>
    <mergeCell ref="A5:B5"/>
    <mergeCell ref="C5:D5"/>
    <mergeCell ref="J5:L5"/>
    <mergeCell ref="M5:N5"/>
    <mergeCell ref="O5:S5"/>
    <mergeCell ref="A4:B4"/>
    <mergeCell ref="C4:D4"/>
    <mergeCell ref="J4:L4"/>
    <mergeCell ref="M4:N4"/>
    <mergeCell ref="O4:S4"/>
    <mergeCell ref="A22:S22"/>
    <mergeCell ref="A6:B6"/>
    <mergeCell ref="C6:D6"/>
    <mergeCell ref="J6:L6"/>
    <mergeCell ref="M6:N6"/>
    <mergeCell ref="O6:S6"/>
    <mergeCell ref="A8:B9"/>
    <mergeCell ref="M9:S9"/>
    <mergeCell ref="G11:H11"/>
    <mergeCell ref="P11:R11"/>
    <mergeCell ref="A19:S19"/>
    <mergeCell ref="A20:S20"/>
    <mergeCell ref="A21:S21"/>
    <mergeCell ref="A38:S38"/>
    <mergeCell ref="A23:S23"/>
    <mergeCell ref="A24:S24"/>
    <mergeCell ref="A25:S25"/>
    <mergeCell ref="A26:S26"/>
    <mergeCell ref="A27:S27"/>
    <mergeCell ref="A30:S30"/>
    <mergeCell ref="A31:S31"/>
    <mergeCell ref="A32:S32"/>
    <mergeCell ref="A33:S33"/>
    <mergeCell ref="A34:S34"/>
    <mergeCell ref="A35:S35"/>
    <mergeCell ref="A39:S39"/>
    <mergeCell ref="A42:S42"/>
    <mergeCell ref="A43:S43"/>
    <mergeCell ref="C45:E45"/>
    <mergeCell ref="F45:I45"/>
    <mergeCell ref="L45:N45"/>
    <mergeCell ref="O45:S45"/>
  </mergeCells>
  <pageMargins left="0.59055118110236227" right="0.19685039370078741" top="1.3779527559055118" bottom="0.74803149606299213" header="0.31496062992125984" footer="0.31496062992125984"/>
  <pageSetup paperSize="9" orientation="portrait" r:id="rId1"/>
  <headerFooter>
    <oddHeader>&amp;L&amp;"Arial,Standard"&amp;10
rhtb: projekt de gmbh
Valeska-Gert-Str. 1, 10243 Berlin
Tel. +49 159 043 59 453
projekt.de@rhtb.eu | rhtb.at&amp;R&amp;G</oddHeader>
    <oddFooter xml:space="preserve">&amp;C&amp;"Arial,Standard"&amp;9rhtb: projekt de gmbh, Valeska-Gert-Straße 1, 10243 Berlin 
Eingetragen beim Amtsgericht Charlottenburg, HRB 239576 B, DE 350317480, Steuer-Nr. 37/491/50666
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8B18-9041-4E35-A6E9-9C47D32522F9}">
  <sheetPr>
    <pageSetUpPr fitToPage="1"/>
  </sheetPr>
  <dimension ref="A1:S50"/>
  <sheetViews>
    <sheetView view="pageLayout" zoomScale="140" zoomScaleNormal="100" zoomScalePageLayoutView="140" workbookViewId="0">
      <selection activeCell="Q2" sqref="Q2:S2"/>
    </sheetView>
  </sheetViews>
  <sheetFormatPr baseColWidth="10" defaultColWidth="11.42578125" defaultRowHeight="14.25" x14ac:dyDescent="0.2"/>
  <cols>
    <col min="1" max="8" width="4.85546875" style="1" customWidth="1"/>
    <col min="9" max="9" width="6.7109375" style="1" customWidth="1"/>
    <col min="10" max="19" width="4.85546875" style="1" customWidth="1"/>
    <col min="20" max="16384" width="11.42578125" style="1"/>
  </cols>
  <sheetData>
    <row r="1" spans="1:19" ht="21" customHeight="1" x14ac:dyDescent="0.2">
      <c r="A1" s="101" t="s">
        <v>0</v>
      </c>
      <c r="B1" s="102"/>
      <c r="C1" s="102"/>
      <c r="D1" s="102"/>
      <c r="E1" s="102"/>
      <c r="F1" s="11"/>
      <c r="G1" s="11"/>
      <c r="H1" s="103" t="s">
        <v>48</v>
      </c>
      <c r="I1" s="103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 ht="23.25" customHeight="1" x14ac:dyDescent="0.2">
      <c r="A2" s="62" t="s">
        <v>1</v>
      </c>
      <c r="B2" s="63"/>
      <c r="C2" s="63"/>
      <c r="D2" s="63"/>
      <c r="E2" s="59"/>
      <c r="F2" s="59"/>
      <c r="G2" s="59"/>
      <c r="H2" s="59"/>
      <c r="I2" s="60" t="s">
        <v>2</v>
      </c>
      <c r="J2" s="73" t="str" cm="1">
        <f t="array" aca="1" ref="J2" ca="1">MID(CELL("dateiname",J2),FIND("]",CELL("dateiname",J2))+4,31)</f>
        <v xml:space="preserve"> 232</v>
      </c>
      <c r="K2" s="73"/>
      <c r="L2" s="59"/>
      <c r="M2" s="59"/>
      <c r="N2" s="59"/>
      <c r="O2" s="104" t="s">
        <v>3</v>
      </c>
      <c r="P2" s="104"/>
      <c r="Q2" s="105">
        <v>45793</v>
      </c>
      <c r="R2" s="106"/>
      <c r="S2" s="107"/>
    </row>
    <row r="3" spans="1:19" s="13" customFormat="1" ht="28.5" customHeight="1" x14ac:dyDescent="0.25">
      <c r="A3" s="108" t="s">
        <v>4</v>
      </c>
      <c r="B3" s="109"/>
      <c r="C3" s="110" t="s">
        <v>47</v>
      </c>
      <c r="D3" s="110"/>
      <c r="E3" s="110"/>
      <c r="F3" s="110"/>
      <c r="G3" s="110"/>
      <c r="H3" s="110"/>
      <c r="I3" s="110"/>
      <c r="J3" s="110"/>
      <c r="K3" s="110"/>
      <c r="L3" s="15"/>
      <c r="S3" s="14"/>
    </row>
    <row r="4" spans="1:19" x14ac:dyDescent="0.2">
      <c r="A4" s="88" t="s">
        <v>5</v>
      </c>
      <c r="B4" s="89"/>
      <c r="C4" s="90" t="s">
        <v>49</v>
      </c>
      <c r="D4" s="90"/>
      <c r="E4" s="65" t="s">
        <v>6</v>
      </c>
      <c r="F4" s="55" t="s">
        <v>50</v>
      </c>
      <c r="G4" s="64" t="s">
        <v>7</v>
      </c>
      <c r="H4" s="74" t="s">
        <v>54</v>
      </c>
      <c r="I4" s="66" t="s">
        <v>8</v>
      </c>
      <c r="J4" s="90" t="s">
        <v>55</v>
      </c>
      <c r="K4" s="90"/>
      <c r="L4" s="90"/>
      <c r="M4" s="91" t="s">
        <v>9</v>
      </c>
      <c r="N4" s="91"/>
      <c r="O4" s="90" t="s">
        <v>10</v>
      </c>
      <c r="P4" s="90"/>
      <c r="Q4" s="90"/>
      <c r="R4" s="90"/>
      <c r="S4" s="92"/>
    </row>
    <row r="5" spans="1:19" x14ac:dyDescent="0.2">
      <c r="A5" s="88" t="s">
        <v>5</v>
      </c>
      <c r="B5" s="89"/>
      <c r="C5" s="90" t="s">
        <v>49</v>
      </c>
      <c r="D5" s="90"/>
      <c r="E5" s="65" t="s">
        <v>6</v>
      </c>
      <c r="F5" s="55" t="s">
        <v>52</v>
      </c>
      <c r="G5" s="64" t="s">
        <v>7</v>
      </c>
      <c r="H5" s="74" t="s">
        <v>54</v>
      </c>
      <c r="I5" s="66" t="s">
        <v>8</v>
      </c>
      <c r="J5" s="90" t="s">
        <v>55</v>
      </c>
      <c r="K5" s="90"/>
      <c r="L5" s="90"/>
      <c r="M5" s="91" t="s">
        <v>9</v>
      </c>
      <c r="N5" s="91"/>
      <c r="O5" s="90" t="s">
        <v>10</v>
      </c>
      <c r="P5" s="90"/>
      <c r="Q5" s="90"/>
      <c r="R5" s="90"/>
      <c r="S5" s="92"/>
    </row>
    <row r="6" spans="1:19" x14ac:dyDescent="0.2">
      <c r="A6" s="88" t="s">
        <v>5</v>
      </c>
      <c r="B6" s="89"/>
      <c r="C6" s="90" t="s">
        <v>49</v>
      </c>
      <c r="D6" s="90"/>
      <c r="E6" s="65" t="s">
        <v>6</v>
      </c>
      <c r="F6" s="55" t="s">
        <v>53</v>
      </c>
      <c r="G6" s="64" t="s">
        <v>7</v>
      </c>
      <c r="H6" s="74" t="s">
        <v>54</v>
      </c>
      <c r="I6" s="66" t="s">
        <v>8</v>
      </c>
      <c r="J6" s="90" t="s">
        <v>55</v>
      </c>
      <c r="K6" s="90"/>
      <c r="L6" s="90"/>
      <c r="M6" s="91" t="s">
        <v>9</v>
      </c>
      <c r="N6" s="91"/>
      <c r="O6" s="90" t="s">
        <v>10</v>
      </c>
      <c r="P6" s="90"/>
      <c r="Q6" s="90"/>
      <c r="R6" s="90"/>
      <c r="S6" s="92"/>
    </row>
    <row r="7" spans="1:19" ht="6" customHeight="1" x14ac:dyDescent="0.2">
      <c r="B7" s="16"/>
      <c r="S7" s="5"/>
    </row>
    <row r="8" spans="1:19" s="13" customFormat="1" ht="17.100000000000001" customHeight="1" x14ac:dyDescent="0.25">
      <c r="A8" s="93" t="s">
        <v>11</v>
      </c>
      <c r="B8" s="94"/>
      <c r="C8" s="11"/>
      <c r="D8" s="17"/>
      <c r="E8" s="18" t="b">
        <v>0</v>
      </c>
      <c r="F8" s="19" t="s">
        <v>12</v>
      </c>
      <c r="G8" s="11"/>
      <c r="H8" s="11"/>
      <c r="I8" s="19" t="s">
        <v>14</v>
      </c>
      <c r="J8" s="11"/>
      <c r="K8" s="11"/>
      <c r="L8" s="18" t="b">
        <v>0</v>
      </c>
      <c r="M8" s="19" t="s">
        <v>16</v>
      </c>
      <c r="N8" s="11"/>
      <c r="O8" s="11"/>
      <c r="P8" s="20" t="s">
        <v>19</v>
      </c>
      <c r="Q8" s="11"/>
      <c r="R8" s="24" t="s">
        <v>20</v>
      </c>
      <c r="S8" s="12" t="s">
        <v>18</v>
      </c>
    </row>
    <row r="9" spans="1:19" s="13" customFormat="1" ht="17.100000000000001" customHeight="1" x14ac:dyDescent="0.25">
      <c r="A9" s="95"/>
      <c r="B9" s="96"/>
      <c r="C9" s="21"/>
      <c r="D9" s="21"/>
      <c r="E9" s="22" t="b">
        <v>0</v>
      </c>
      <c r="F9" s="23" t="s">
        <v>13</v>
      </c>
      <c r="G9" s="21"/>
      <c r="H9" s="21"/>
      <c r="I9" s="23" t="s">
        <v>15</v>
      </c>
      <c r="J9" s="21"/>
      <c r="K9" s="21"/>
      <c r="L9" s="22" t="b">
        <v>1</v>
      </c>
      <c r="M9" s="97" t="s">
        <v>17</v>
      </c>
      <c r="N9" s="97"/>
      <c r="O9" s="97"/>
      <c r="P9" s="97"/>
      <c r="Q9" s="97"/>
      <c r="R9" s="97"/>
      <c r="S9" s="98"/>
    </row>
    <row r="10" spans="1:19" ht="7.5" customHeight="1" x14ac:dyDescent="0.2">
      <c r="A10" s="4"/>
      <c r="S10" s="5"/>
    </row>
    <row r="11" spans="1:19" x14ac:dyDescent="0.2">
      <c r="A11" s="31" t="s">
        <v>37</v>
      </c>
      <c r="B11" s="17"/>
      <c r="C11" s="17"/>
      <c r="D11" s="17"/>
      <c r="E11" s="17"/>
      <c r="F11" s="32"/>
      <c r="G11" s="99">
        <f>F13</f>
        <v>58</v>
      </c>
      <c r="H11" s="99"/>
      <c r="I11" s="33"/>
      <c r="J11" s="34"/>
      <c r="K11" s="2"/>
      <c r="L11" s="17" t="s">
        <v>21</v>
      </c>
      <c r="M11" s="35"/>
      <c r="N11" s="35"/>
      <c r="O11" s="17"/>
      <c r="P11" s="100" t="s">
        <v>22</v>
      </c>
      <c r="Q11" s="100"/>
      <c r="R11" s="100"/>
      <c r="S11" s="3"/>
    </row>
    <row r="12" spans="1:19" x14ac:dyDescent="0.2">
      <c r="A12" s="36"/>
      <c r="B12" s="37"/>
      <c r="C12" s="37"/>
      <c r="D12" s="37"/>
      <c r="E12" s="37"/>
      <c r="F12" s="25"/>
      <c r="G12" s="25"/>
      <c r="H12" s="25"/>
      <c r="I12" s="25"/>
      <c r="J12" s="25"/>
      <c r="K12" s="37"/>
      <c r="L12" s="38"/>
      <c r="M12" s="38"/>
      <c r="N12" s="38"/>
      <c r="O12" s="25"/>
      <c r="P12" s="25"/>
      <c r="Q12" s="25"/>
      <c r="R12" s="25"/>
      <c r="S12" s="5"/>
    </row>
    <row r="13" spans="1:19" s="28" customFormat="1" ht="11.25" x14ac:dyDescent="0.25">
      <c r="A13" s="30">
        <v>0</v>
      </c>
      <c r="B13" s="26" t="s">
        <v>23</v>
      </c>
      <c r="D13" s="39" t="str">
        <f>IF(A13&gt;0,A13*9,"0")</f>
        <v>0</v>
      </c>
      <c r="E13" s="39" t="s">
        <v>24</v>
      </c>
      <c r="F13" s="30">
        <v>58</v>
      </c>
      <c r="G13" s="26" t="s">
        <v>25</v>
      </c>
      <c r="H13" s="40"/>
      <c r="I13" s="39">
        <f>IF(F13&gt;0,F13*9,"0")</f>
        <v>522</v>
      </c>
      <c r="J13" s="39" t="s">
        <v>24</v>
      </c>
      <c r="K13" s="30">
        <v>0</v>
      </c>
      <c r="L13" s="27" t="s">
        <v>26</v>
      </c>
      <c r="M13" s="27"/>
      <c r="N13" s="39" t="str">
        <f>IF(K13&gt;0,K13*9,"0")</f>
        <v>0</v>
      </c>
      <c r="O13" s="29" t="s">
        <v>24</v>
      </c>
      <c r="P13" s="30"/>
      <c r="Q13" s="29" t="s">
        <v>27</v>
      </c>
      <c r="R13" s="29"/>
      <c r="S13" s="41"/>
    </row>
    <row r="14" spans="1:19" s="28" customFormat="1" ht="11.25" x14ac:dyDescent="0.25">
      <c r="A14" s="30">
        <v>1</v>
      </c>
      <c r="B14" s="26" t="s">
        <v>28</v>
      </c>
      <c r="D14" s="39">
        <f>IF(A14&gt;0,A14*9,"0")</f>
        <v>9</v>
      </c>
      <c r="E14" s="39" t="s">
        <v>24</v>
      </c>
      <c r="F14" s="30">
        <v>0</v>
      </c>
      <c r="G14" s="26" t="s">
        <v>29</v>
      </c>
      <c r="H14" s="39"/>
      <c r="I14" s="39" t="str">
        <f t="shared" ref="I14:I16" si="0">IF(F14&gt;0,F14*9,"0")</f>
        <v>0</v>
      </c>
      <c r="J14" s="39" t="s">
        <v>24</v>
      </c>
      <c r="K14" s="30">
        <v>0</v>
      </c>
      <c r="L14" s="27" t="s">
        <v>30</v>
      </c>
      <c r="M14" s="27"/>
      <c r="N14" s="39" t="str">
        <f>IF(K14&gt;0,K14*9,"0")</f>
        <v>0</v>
      </c>
      <c r="O14" s="29" t="s">
        <v>24</v>
      </c>
      <c r="P14" s="30">
        <v>0</v>
      </c>
      <c r="Q14" s="29"/>
      <c r="R14" s="39" t="str">
        <f>IF(P14&gt;0,P14*9,"0")</f>
        <v>0</v>
      </c>
      <c r="S14" s="42" t="s">
        <v>24</v>
      </c>
    </row>
    <row r="15" spans="1:19" s="28" customFormat="1" ht="11.25" x14ac:dyDescent="0.25">
      <c r="A15" s="30">
        <v>0</v>
      </c>
      <c r="B15" s="26" t="s">
        <v>31</v>
      </c>
      <c r="D15" s="39" t="str">
        <f>IF(A15&gt;0,A15*9,"0")</f>
        <v>0</v>
      </c>
      <c r="E15" s="39" t="s">
        <v>24</v>
      </c>
      <c r="F15" s="30">
        <v>0</v>
      </c>
      <c r="G15" s="26" t="s">
        <v>32</v>
      </c>
      <c r="H15" s="39"/>
      <c r="I15" s="39" t="str">
        <f t="shared" si="0"/>
        <v>0</v>
      </c>
      <c r="J15" s="39" t="s">
        <v>24</v>
      </c>
      <c r="K15" s="30">
        <v>0</v>
      </c>
      <c r="L15" s="43" t="s">
        <v>33</v>
      </c>
      <c r="M15" s="43"/>
      <c r="N15" s="39" t="str">
        <f>IF(K15&gt;0,K15*9,"0")</f>
        <v>0</v>
      </c>
      <c r="O15" s="29" t="s">
        <v>24</v>
      </c>
      <c r="P15" s="30">
        <v>0</v>
      </c>
      <c r="Q15" s="29"/>
      <c r="R15" s="39" t="str">
        <f>IF(P15&gt;0,P15*9,"0")</f>
        <v>0</v>
      </c>
      <c r="S15" s="42" t="s">
        <v>24</v>
      </c>
    </row>
    <row r="16" spans="1:19" s="28" customFormat="1" ht="11.25" x14ac:dyDescent="0.25">
      <c r="A16" s="44">
        <v>0</v>
      </c>
      <c r="B16" s="45" t="s">
        <v>34</v>
      </c>
      <c r="C16" s="46"/>
      <c r="D16" s="47" t="str">
        <f>IF(A16&gt;0,A16*9,"0")</f>
        <v>0</v>
      </c>
      <c r="E16" s="47" t="s">
        <v>24</v>
      </c>
      <c r="F16" s="44">
        <v>0</v>
      </c>
      <c r="G16" s="48" t="s">
        <v>35</v>
      </c>
      <c r="H16" s="47"/>
      <c r="I16" s="47" t="str">
        <f t="shared" si="0"/>
        <v>0</v>
      </c>
      <c r="J16" s="47" t="s">
        <v>24</v>
      </c>
      <c r="K16" s="44">
        <v>0</v>
      </c>
      <c r="L16" s="49" t="s">
        <v>36</v>
      </c>
      <c r="M16" s="49"/>
      <c r="N16" s="47" t="str">
        <f>IF(K16&gt;0,K16*9,"0")</f>
        <v>0</v>
      </c>
      <c r="O16" s="50" t="s">
        <v>24</v>
      </c>
      <c r="P16" s="44">
        <v>0</v>
      </c>
      <c r="Q16" s="51"/>
      <c r="R16" s="47" t="str">
        <f>IF(P16&gt;0,P16*9,"0")</f>
        <v>0</v>
      </c>
      <c r="S16" s="52" t="s">
        <v>24</v>
      </c>
    </row>
    <row r="17" spans="1:19" ht="6" customHeight="1" x14ac:dyDescent="0.2"/>
    <row r="18" spans="1:19" x14ac:dyDescent="0.2">
      <c r="A18" s="67" t="s">
        <v>41</v>
      </c>
      <c r="B18" s="53"/>
      <c r="C18" s="53"/>
      <c r="D18" s="53"/>
      <c r="E18" s="54"/>
      <c r="F18" s="56" t="s">
        <v>38</v>
      </c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8"/>
    </row>
    <row r="19" spans="1:19" x14ac:dyDescent="0.2">
      <c r="A19" s="78" t="s">
        <v>56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80"/>
    </row>
    <row r="20" spans="1:19" x14ac:dyDescent="0.2">
      <c r="A20" s="78" t="s">
        <v>69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80"/>
    </row>
    <row r="21" spans="1:19" x14ac:dyDescent="0.2">
      <c r="A21" s="78" t="s">
        <v>65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80"/>
    </row>
    <row r="22" spans="1:19" x14ac:dyDescent="0.2">
      <c r="A22" s="78" t="s">
        <v>66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80"/>
    </row>
    <row r="23" spans="1:19" x14ac:dyDescent="0.2">
      <c r="A23" s="78" t="s">
        <v>62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80"/>
    </row>
    <row r="24" spans="1:19" x14ac:dyDescent="0.2">
      <c r="A24" s="78" t="s">
        <v>67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80"/>
    </row>
    <row r="25" spans="1:19" x14ac:dyDescent="0.2">
      <c r="A25" s="78" t="s">
        <v>68</v>
      </c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80"/>
    </row>
    <row r="26" spans="1:19" x14ac:dyDescent="0.2">
      <c r="A26" s="78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80"/>
    </row>
    <row r="27" spans="1:19" x14ac:dyDescent="0.2">
      <c r="A27" s="85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7"/>
    </row>
    <row r="28" spans="1:19" ht="5.25" customHeight="1" x14ac:dyDescent="0.2"/>
    <row r="29" spans="1:19" x14ac:dyDescent="0.2">
      <c r="A29" s="69" t="s">
        <v>39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3"/>
    </row>
    <row r="30" spans="1:19" x14ac:dyDescent="0.2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80"/>
    </row>
    <row r="31" spans="1:19" x14ac:dyDescent="0.2">
      <c r="A31" s="78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80"/>
    </row>
    <row r="32" spans="1:19" x14ac:dyDescent="0.2">
      <c r="A32" s="78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80"/>
    </row>
    <row r="33" spans="1:19" x14ac:dyDescent="0.2">
      <c r="A33" s="78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80"/>
    </row>
    <row r="34" spans="1:19" x14ac:dyDescent="0.2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80"/>
    </row>
    <row r="35" spans="1:19" x14ac:dyDescent="0.2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7"/>
    </row>
    <row r="36" spans="1:19" ht="4.5" customHeight="1" x14ac:dyDescent="0.2"/>
    <row r="37" spans="1:19" x14ac:dyDescent="0.2">
      <c r="A37" s="69" t="s">
        <v>40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3"/>
    </row>
    <row r="38" spans="1:19" x14ac:dyDescent="0.2">
      <c r="A38" s="78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80"/>
    </row>
    <row r="39" spans="1:19" x14ac:dyDescent="0.2">
      <c r="A39" s="75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7"/>
    </row>
    <row r="40" spans="1:19" ht="4.5" customHeight="1" x14ac:dyDescent="0.2"/>
    <row r="41" spans="1:19" x14ac:dyDescent="0.2">
      <c r="A41" s="69" t="s">
        <v>42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</row>
    <row r="42" spans="1:19" x14ac:dyDescent="0.2">
      <c r="A42" s="78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80"/>
    </row>
    <row r="43" spans="1:19" x14ac:dyDescent="0.2">
      <c r="A43" s="75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7"/>
    </row>
    <row r="44" spans="1:19" ht="6" customHeight="1" x14ac:dyDescent="0.2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</row>
    <row r="45" spans="1:19" x14ac:dyDescent="0.2">
      <c r="A45" s="61" t="s">
        <v>43</v>
      </c>
      <c r="B45" s="10"/>
      <c r="C45" s="81"/>
      <c r="D45" s="82"/>
      <c r="E45" s="83"/>
      <c r="F45" s="81"/>
      <c r="G45" s="82"/>
      <c r="H45" s="82"/>
      <c r="I45" s="83"/>
      <c r="J45" s="61" t="s">
        <v>43</v>
      </c>
      <c r="K45" s="10"/>
      <c r="L45" s="81" t="s">
        <v>44</v>
      </c>
      <c r="M45" s="82"/>
      <c r="N45" s="83"/>
      <c r="O45" s="84">
        <f>Q2</f>
        <v>45793</v>
      </c>
      <c r="P45" s="82"/>
      <c r="Q45" s="82"/>
      <c r="R45" s="82"/>
      <c r="S45" s="83"/>
    </row>
    <row r="46" spans="1:19" x14ac:dyDescent="0.2">
      <c r="A46" s="72" t="s">
        <v>45</v>
      </c>
      <c r="B46" s="2"/>
      <c r="C46" s="2"/>
      <c r="D46" s="2"/>
      <c r="E46" s="2"/>
      <c r="F46" s="2"/>
      <c r="G46" s="2"/>
      <c r="H46" s="2"/>
      <c r="I46" s="3"/>
      <c r="J46" s="72" t="s">
        <v>46</v>
      </c>
      <c r="K46" s="2"/>
      <c r="L46" s="2"/>
      <c r="M46" s="2"/>
      <c r="N46" s="2"/>
      <c r="O46" s="2"/>
      <c r="P46" s="2"/>
      <c r="Q46" s="2"/>
      <c r="R46" s="2"/>
      <c r="S46" s="3"/>
    </row>
    <row r="47" spans="1:19" x14ac:dyDescent="0.2">
      <c r="A47" s="70"/>
      <c r="B47" s="9"/>
      <c r="C47" s="9"/>
      <c r="D47" s="9"/>
      <c r="E47" s="9"/>
      <c r="F47" s="9"/>
      <c r="G47" s="9"/>
      <c r="H47" s="9"/>
      <c r="I47" s="71"/>
      <c r="J47" s="70"/>
      <c r="K47" s="9"/>
      <c r="L47" s="9"/>
      <c r="M47" s="9"/>
      <c r="N47" s="9"/>
      <c r="O47" s="9"/>
      <c r="P47" s="9"/>
      <c r="Q47" s="9"/>
      <c r="R47" s="9"/>
      <c r="S47" s="71"/>
    </row>
    <row r="48" spans="1:19" x14ac:dyDescent="0.2">
      <c r="A48" s="70"/>
      <c r="B48" s="9"/>
      <c r="C48" s="9"/>
      <c r="D48" s="9"/>
      <c r="E48" s="9"/>
      <c r="F48" s="9"/>
      <c r="G48" s="9"/>
      <c r="H48" s="9"/>
      <c r="I48" s="71"/>
      <c r="J48" s="70"/>
      <c r="K48" s="9"/>
      <c r="L48" s="9"/>
      <c r="M48" s="9"/>
      <c r="N48" s="9"/>
      <c r="O48" s="9"/>
      <c r="P48" s="9"/>
      <c r="Q48" s="9"/>
      <c r="R48" s="9"/>
      <c r="S48" s="71"/>
    </row>
    <row r="49" spans="1:19" x14ac:dyDescent="0.2">
      <c r="A49" s="70"/>
      <c r="B49" s="9"/>
      <c r="C49" s="9"/>
      <c r="D49" s="9"/>
      <c r="E49" s="9"/>
      <c r="F49" s="9"/>
      <c r="G49" s="9"/>
      <c r="H49" s="9"/>
      <c r="I49" s="71"/>
      <c r="J49" s="70"/>
      <c r="K49" s="9"/>
      <c r="L49" s="9"/>
      <c r="M49" s="9"/>
      <c r="N49" s="9"/>
      <c r="O49" s="9"/>
      <c r="P49" s="9"/>
      <c r="Q49" s="9"/>
      <c r="R49" s="9"/>
      <c r="S49" s="71"/>
    </row>
    <row r="50" spans="1:19" x14ac:dyDescent="0.2">
      <c r="A50" s="6"/>
      <c r="B50" s="7"/>
      <c r="C50" s="7"/>
      <c r="D50" s="7"/>
      <c r="E50" s="7"/>
      <c r="F50" s="7"/>
      <c r="G50" s="7"/>
      <c r="H50" s="7"/>
      <c r="I50" s="8"/>
      <c r="J50" s="6"/>
      <c r="K50" s="7"/>
      <c r="L50" s="7"/>
      <c r="M50" s="7"/>
      <c r="N50" s="7"/>
      <c r="O50" s="7"/>
      <c r="P50" s="7"/>
      <c r="Q50" s="7"/>
      <c r="R50" s="7"/>
      <c r="S50" s="8"/>
    </row>
  </sheetData>
  <mergeCells count="48">
    <mergeCell ref="A22:S22"/>
    <mergeCell ref="A21:S21"/>
    <mergeCell ref="A39:S39"/>
    <mergeCell ref="A42:S42"/>
    <mergeCell ref="A43:S43"/>
    <mergeCell ref="A23:S23"/>
    <mergeCell ref="A24:S24"/>
    <mergeCell ref="A25:S25"/>
    <mergeCell ref="A26:S26"/>
    <mergeCell ref="A27:S27"/>
    <mergeCell ref="A30:S30"/>
    <mergeCell ref="C45:E45"/>
    <mergeCell ref="F45:I45"/>
    <mergeCell ref="L45:N45"/>
    <mergeCell ref="O45:S45"/>
    <mergeCell ref="A31:S31"/>
    <mergeCell ref="A32:S32"/>
    <mergeCell ref="A33:S33"/>
    <mergeCell ref="A34:S34"/>
    <mergeCell ref="A35:S35"/>
    <mergeCell ref="A38:S38"/>
    <mergeCell ref="G11:H11"/>
    <mergeCell ref="P11:R11"/>
    <mergeCell ref="A19:S19"/>
    <mergeCell ref="A20:S20"/>
    <mergeCell ref="A6:B6"/>
    <mergeCell ref="C6:D6"/>
    <mergeCell ref="J6:L6"/>
    <mergeCell ref="M6:N6"/>
    <mergeCell ref="O6:S6"/>
    <mergeCell ref="A8:B9"/>
    <mergeCell ref="M9:S9"/>
    <mergeCell ref="A4:B4"/>
    <mergeCell ref="C4:D4"/>
    <mergeCell ref="J4:L4"/>
    <mergeCell ref="M4:N4"/>
    <mergeCell ref="O4:S4"/>
    <mergeCell ref="A5:B5"/>
    <mergeCell ref="C5:D5"/>
    <mergeCell ref="J5:L5"/>
    <mergeCell ref="M5:N5"/>
    <mergeCell ref="O5:S5"/>
    <mergeCell ref="A1:E1"/>
    <mergeCell ref="H1:I1"/>
    <mergeCell ref="O2:P2"/>
    <mergeCell ref="Q2:S2"/>
    <mergeCell ref="A3:B3"/>
    <mergeCell ref="C3:K3"/>
  </mergeCells>
  <pageMargins left="0.59055118110236227" right="0.19685039370078741" top="1.3779527559055118" bottom="0.74803149606299213" header="0.31496062992125984" footer="0.31496062992125984"/>
  <pageSetup paperSize="9" orientation="portrait" r:id="rId1"/>
  <headerFooter>
    <oddHeader>&amp;L&amp;"Arial,Standard"&amp;10
rhtb: projekt de gmbh
Valeska-Gert-Str. 1, 10243 Berlin
Tel. +49 159 043 59 453
projekt.de@rhtb.eu | rhtb.at&amp;R&amp;G</oddHeader>
    <oddFooter xml:space="preserve">&amp;C&amp;"Arial,Standard"&amp;9rhtb: projekt de gmbh, Valeska-Gert-Straße 1, 10243 Berlin 
Eingetragen beim Amtsgericht Charlottenburg, HRB 239576 B, DE 350317480, Steuer-Nr. 37/491/50666
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C7DC0-D84C-4DEB-B957-8AE45393146B}">
  <sheetPr>
    <pageSetUpPr fitToPage="1"/>
  </sheetPr>
  <dimension ref="A1:S50"/>
  <sheetViews>
    <sheetView view="pageLayout" zoomScale="138" zoomScaleNormal="100" zoomScalePageLayoutView="138" workbookViewId="0">
      <selection activeCell="Q2" sqref="Q2:S2"/>
    </sheetView>
  </sheetViews>
  <sheetFormatPr baseColWidth="10" defaultColWidth="11.42578125" defaultRowHeight="14.25" x14ac:dyDescent="0.2"/>
  <cols>
    <col min="1" max="8" width="4.85546875" style="1" customWidth="1"/>
    <col min="9" max="9" width="6.7109375" style="1" customWidth="1"/>
    <col min="10" max="19" width="4.85546875" style="1" customWidth="1"/>
    <col min="20" max="16384" width="11.42578125" style="1"/>
  </cols>
  <sheetData>
    <row r="1" spans="1:19" ht="21" customHeight="1" x14ac:dyDescent="0.2">
      <c r="A1" s="101" t="s">
        <v>0</v>
      </c>
      <c r="B1" s="102"/>
      <c r="C1" s="102"/>
      <c r="D1" s="102"/>
      <c r="E1" s="102"/>
      <c r="F1" s="11"/>
      <c r="G1" s="11"/>
      <c r="H1" s="103" t="s">
        <v>48</v>
      </c>
      <c r="I1" s="103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 ht="23.25" customHeight="1" x14ac:dyDescent="0.2">
      <c r="A2" s="62" t="s">
        <v>1</v>
      </c>
      <c r="B2" s="63"/>
      <c r="C2" s="63"/>
      <c r="D2" s="63"/>
      <c r="E2" s="59"/>
      <c r="F2" s="59"/>
      <c r="G2" s="59"/>
      <c r="H2" s="59"/>
      <c r="I2" s="60" t="s">
        <v>2</v>
      </c>
      <c r="J2" s="73" t="str" cm="1">
        <f t="array" aca="1" ref="J2" ca="1">MID(CELL("dateiname",J2),FIND("]",CELL("dateiname",J2))+4,31)</f>
        <v xml:space="preserve"> 231</v>
      </c>
      <c r="K2" s="73"/>
      <c r="L2" s="59"/>
      <c r="M2" s="59"/>
      <c r="N2" s="59"/>
      <c r="O2" s="104" t="s">
        <v>3</v>
      </c>
      <c r="P2" s="104"/>
      <c r="Q2" s="105">
        <v>45792</v>
      </c>
      <c r="R2" s="106"/>
      <c r="S2" s="107"/>
    </row>
    <row r="3" spans="1:19" s="13" customFormat="1" ht="28.5" customHeight="1" x14ac:dyDescent="0.25">
      <c r="A3" s="108" t="s">
        <v>4</v>
      </c>
      <c r="B3" s="109"/>
      <c r="C3" s="110" t="s">
        <v>47</v>
      </c>
      <c r="D3" s="110"/>
      <c r="E3" s="110"/>
      <c r="F3" s="110"/>
      <c r="G3" s="110"/>
      <c r="H3" s="110"/>
      <c r="I3" s="110"/>
      <c r="J3" s="110"/>
      <c r="K3" s="110"/>
      <c r="L3" s="15"/>
      <c r="S3" s="14"/>
    </row>
    <row r="4" spans="1:19" x14ac:dyDescent="0.2">
      <c r="A4" s="88" t="s">
        <v>5</v>
      </c>
      <c r="B4" s="89"/>
      <c r="C4" s="90" t="s">
        <v>49</v>
      </c>
      <c r="D4" s="90"/>
      <c r="E4" s="65" t="s">
        <v>6</v>
      </c>
      <c r="F4" s="55" t="s">
        <v>50</v>
      </c>
      <c r="G4" s="64" t="s">
        <v>7</v>
      </c>
      <c r="H4" s="74" t="s">
        <v>54</v>
      </c>
      <c r="I4" s="66" t="s">
        <v>8</v>
      </c>
      <c r="J4" s="90" t="s">
        <v>55</v>
      </c>
      <c r="K4" s="90"/>
      <c r="L4" s="90"/>
      <c r="M4" s="91" t="s">
        <v>9</v>
      </c>
      <c r="N4" s="91"/>
      <c r="O4" s="90" t="s">
        <v>10</v>
      </c>
      <c r="P4" s="90"/>
      <c r="Q4" s="90"/>
      <c r="R4" s="90"/>
      <c r="S4" s="92"/>
    </row>
    <row r="5" spans="1:19" x14ac:dyDescent="0.2">
      <c r="A5" s="88" t="s">
        <v>5</v>
      </c>
      <c r="B5" s="89"/>
      <c r="C5" s="90" t="s">
        <v>49</v>
      </c>
      <c r="D5" s="90"/>
      <c r="E5" s="65" t="s">
        <v>6</v>
      </c>
      <c r="F5" s="55" t="s">
        <v>52</v>
      </c>
      <c r="G5" s="64" t="s">
        <v>7</v>
      </c>
      <c r="H5" s="74" t="s">
        <v>54</v>
      </c>
      <c r="I5" s="66" t="s">
        <v>8</v>
      </c>
      <c r="J5" s="90" t="s">
        <v>55</v>
      </c>
      <c r="K5" s="90"/>
      <c r="L5" s="90"/>
      <c r="M5" s="91" t="s">
        <v>9</v>
      </c>
      <c r="N5" s="91"/>
      <c r="O5" s="90" t="s">
        <v>10</v>
      </c>
      <c r="P5" s="90"/>
      <c r="Q5" s="90"/>
      <c r="R5" s="90"/>
      <c r="S5" s="92"/>
    </row>
    <row r="6" spans="1:19" x14ac:dyDescent="0.2">
      <c r="A6" s="88" t="s">
        <v>5</v>
      </c>
      <c r="B6" s="89"/>
      <c r="C6" s="90" t="s">
        <v>49</v>
      </c>
      <c r="D6" s="90"/>
      <c r="E6" s="65" t="s">
        <v>6</v>
      </c>
      <c r="F6" s="55" t="s">
        <v>53</v>
      </c>
      <c r="G6" s="64" t="s">
        <v>7</v>
      </c>
      <c r="H6" s="74" t="s">
        <v>54</v>
      </c>
      <c r="I6" s="66" t="s">
        <v>8</v>
      </c>
      <c r="J6" s="90" t="s">
        <v>55</v>
      </c>
      <c r="K6" s="90"/>
      <c r="L6" s="90"/>
      <c r="M6" s="91" t="s">
        <v>9</v>
      </c>
      <c r="N6" s="91"/>
      <c r="O6" s="90" t="s">
        <v>10</v>
      </c>
      <c r="P6" s="90"/>
      <c r="Q6" s="90"/>
      <c r="R6" s="90"/>
      <c r="S6" s="92"/>
    </row>
    <row r="7" spans="1:19" ht="6" customHeight="1" x14ac:dyDescent="0.2">
      <c r="B7" s="16"/>
      <c r="S7" s="5"/>
    </row>
    <row r="8" spans="1:19" s="13" customFormat="1" ht="17.100000000000001" customHeight="1" x14ac:dyDescent="0.25">
      <c r="A8" s="93" t="s">
        <v>11</v>
      </c>
      <c r="B8" s="94"/>
      <c r="C8" s="11"/>
      <c r="D8" s="17"/>
      <c r="E8" s="18" t="b">
        <v>0</v>
      </c>
      <c r="F8" s="19" t="s">
        <v>12</v>
      </c>
      <c r="G8" s="11"/>
      <c r="H8" s="11"/>
      <c r="I8" s="19" t="s">
        <v>14</v>
      </c>
      <c r="J8" s="11"/>
      <c r="K8" s="11"/>
      <c r="L8" s="18" t="b">
        <v>0</v>
      </c>
      <c r="M8" s="19" t="s">
        <v>16</v>
      </c>
      <c r="N8" s="11"/>
      <c r="O8" s="11"/>
      <c r="P8" s="20" t="s">
        <v>19</v>
      </c>
      <c r="Q8" s="11"/>
      <c r="R8" s="24" t="s">
        <v>20</v>
      </c>
      <c r="S8" s="12" t="s">
        <v>18</v>
      </c>
    </row>
    <row r="9" spans="1:19" s="13" customFormat="1" ht="17.100000000000001" customHeight="1" x14ac:dyDescent="0.25">
      <c r="A9" s="95"/>
      <c r="B9" s="96"/>
      <c r="C9" s="21"/>
      <c r="D9" s="21"/>
      <c r="E9" s="22" t="b">
        <v>0</v>
      </c>
      <c r="F9" s="23" t="s">
        <v>13</v>
      </c>
      <c r="G9" s="21"/>
      <c r="H9" s="21"/>
      <c r="I9" s="23" t="s">
        <v>15</v>
      </c>
      <c r="J9" s="21"/>
      <c r="K9" s="21"/>
      <c r="L9" s="22" t="b">
        <v>1</v>
      </c>
      <c r="M9" s="97" t="s">
        <v>17</v>
      </c>
      <c r="N9" s="97"/>
      <c r="O9" s="97"/>
      <c r="P9" s="97"/>
      <c r="Q9" s="97"/>
      <c r="R9" s="97"/>
      <c r="S9" s="98"/>
    </row>
    <row r="10" spans="1:19" ht="7.5" customHeight="1" x14ac:dyDescent="0.2">
      <c r="A10" s="4"/>
      <c r="S10" s="5"/>
    </row>
    <row r="11" spans="1:19" x14ac:dyDescent="0.2">
      <c r="A11" s="31" t="s">
        <v>37</v>
      </c>
      <c r="B11" s="17"/>
      <c r="C11" s="17"/>
      <c r="D11" s="17"/>
      <c r="E11" s="17"/>
      <c r="F11" s="32"/>
      <c r="G11" s="99">
        <f>F13</f>
        <v>70</v>
      </c>
      <c r="H11" s="99"/>
      <c r="I11" s="33"/>
      <c r="J11" s="34"/>
      <c r="K11" s="2"/>
      <c r="L11" s="17" t="s">
        <v>21</v>
      </c>
      <c r="M11" s="35"/>
      <c r="N11" s="35"/>
      <c r="O11" s="17"/>
      <c r="P11" s="100" t="s">
        <v>22</v>
      </c>
      <c r="Q11" s="100"/>
      <c r="R11" s="100"/>
      <c r="S11" s="3"/>
    </row>
    <row r="12" spans="1:19" x14ac:dyDescent="0.2">
      <c r="A12" s="36"/>
      <c r="B12" s="37"/>
      <c r="C12" s="37"/>
      <c r="D12" s="37"/>
      <c r="E12" s="37"/>
      <c r="F12" s="25"/>
      <c r="G12" s="25"/>
      <c r="H12" s="25"/>
      <c r="I12" s="25"/>
      <c r="J12" s="25"/>
      <c r="K12" s="37"/>
      <c r="L12" s="38"/>
      <c r="M12" s="38"/>
      <c r="N12" s="38"/>
      <c r="O12" s="25"/>
      <c r="P12" s="25"/>
      <c r="Q12" s="25"/>
      <c r="R12" s="25"/>
      <c r="S12" s="5"/>
    </row>
    <row r="13" spans="1:19" s="28" customFormat="1" ht="11.25" x14ac:dyDescent="0.25">
      <c r="A13" s="30">
        <v>1</v>
      </c>
      <c r="B13" s="26" t="s">
        <v>23</v>
      </c>
      <c r="D13" s="39">
        <f>IF(A13&gt;0,A13*9,"0")</f>
        <v>9</v>
      </c>
      <c r="E13" s="39" t="s">
        <v>24</v>
      </c>
      <c r="F13" s="30">
        <v>70</v>
      </c>
      <c r="G13" s="26" t="s">
        <v>25</v>
      </c>
      <c r="H13" s="40"/>
      <c r="I13" s="39">
        <f>IF(F13&gt;0,F13*9,"0")</f>
        <v>630</v>
      </c>
      <c r="J13" s="39" t="s">
        <v>24</v>
      </c>
      <c r="K13" s="30">
        <v>0</v>
      </c>
      <c r="L13" s="27" t="s">
        <v>26</v>
      </c>
      <c r="M13" s="27"/>
      <c r="N13" s="39" t="str">
        <f>IF(K13&gt;0,K13*9,"0")</f>
        <v>0</v>
      </c>
      <c r="O13" s="29" t="s">
        <v>24</v>
      </c>
      <c r="P13" s="30"/>
      <c r="Q13" s="29" t="s">
        <v>27</v>
      </c>
      <c r="R13" s="29"/>
      <c r="S13" s="41"/>
    </row>
    <row r="14" spans="1:19" s="28" customFormat="1" ht="11.25" x14ac:dyDescent="0.25">
      <c r="A14" s="30">
        <v>1</v>
      </c>
      <c r="B14" s="26" t="s">
        <v>28</v>
      </c>
      <c r="D14" s="39">
        <f>IF(A14&gt;0,A14*9,"0")</f>
        <v>9</v>
      </c>
      <c r="E14" s="39" t="s">
        <v>24</v>
      </c>
      <c r="F14" s="30">
        <v>0</v>
      </c>
      <c r="G14" s="26" t="s">
        <v>29</v>
      </c>
      <c r="H14" s="39"/>
      <c r="I14" s="39" t="str">
        <f t="shared" ref="I14:I16" si="0">IF(F14&gt;0,F14*9,"0")</f>
        <v>0</v>
      </c>
      <c r="J14" s="39" t="s">
        <v>24</v>
      </c>
      <c r="K14" s="30">
        <v>0</v>
      </c>
      <c r="L14" s="27" t="s">
        <v>30</v>
      </c>
      <c r="M14" s="27"/>
      <c r="N14" s="39" t="str">
        <f>IF(K14&gt;0,K14*9,"0")</f>
        <v>0</v>
      </c>
      <c r="O14" s="29" t="s">
        <v>24</v>
      </c>
      <c r="P14" s="30">
        <v>0</v>
      </c>
      <c r="Q14" s="29"/>
      <c r="R14" s="39" t="str">
        <f>IF(P14&gt;0,P14*9,"0")</f>
        <v>0</v>
      </c>
      <c r="S14" s="42" t="s">
        <v>24</v>
      </c>
    </row>
    <row r="15" spans="1:19" s="28" customFormat="1" ht="11.25" x14ac:dyDescent="0.25">
      <c r="A15" s="30">
        <v>1</v>
      </c>
      <c r="B15" s="26" t="s">
        <v>31</v>
      </c>
      <c r="D15" s="39">
        <f>IF(A15&gt;0,A15*9,"0")</f>
        <v>9</v>
      </c>
      <c r="E15" s="39" t="s">
        <v>24</v>
      </c>
      <c r="F15" s="30">
        <v>0</v>
      </c>
      <c r="G15" s="26" t="s">
        <v>32</v>
      </c>
      <c r="H15" s="39"/>
      <c r="I15" s="39" t="str">
        <f t="shared" si="0"/>
        <v>0</v>
      </c>
      <c r="J15" s="39" t="s">
        <v>24</v>
      </c>
      <c r="K15" s="30">
        <v>0</v>
      </c>
      <c r="L15" s="43" t="s">
        <v>33</v>
      </c>
      <c r="M15" s="43"/>
      <c r="N15" s="39" t="str">
        <f>IF(K15&gt;0,K15*9,"0")</f>
        <v>0</v>
      </c>
      <c r="O15" s="29" t="s">
        <v>24</v>
      </c>
      <c r="P15" s="30">
        <v>0</v>
      </c>
      <c r="Q15" s="29"/>
      <c r="R15" s="39" t="str">
        <f>IF(P15&gt;0,P15*9,"0")</f>
        <v>0</v>
      </c>
      <c r="S15" s="42" t="s">
        <v>24</v>
      </c>
    </row>
    <row r="16" spans="1:19" s="28" customFormat="1" ht="11.25" x14ac:dyDescent="0.25">
      <c r="A16" s="44">
        <v>0</v>
      </c>
      <c r="B16" s="45" t="s">
        <v>34</v>
      </c>
      <c r="C16" s="46"/>
      <c r="D16" s="47" t="str">
        <f>IF(A16&gt;0,A16*9,"0")</f>
        <v>0</v>
      </c>
      <c r="E16" s="47" t="s">
        <v>24</v>
      </c>
      <c r="F16" s="44">
        <v>0</v>
      </c>
      <c r="G16" s="48" t="s">
        <v>35</v>
      </c>
      <c r="H16" s="47"/>
      <c r="I16" s="47" t="str">
        <f t="shared" si="0"/>
        <v>0</v>
      </c>
      <c r="J16" s="47" t="s">
        <v>24</v>
      </c>
      <c r="K16" s="44">
        <v>0</v>
      </c>
      <c r="L16" s="49" t="s">
        <v>36</v>
      </c>
      <c r="M16" s="49"/>
      <c r="N16" s="47" t="str">
        <f>IF(K16&gt;0,K16*9,"0")</f>
        <v>0</v>
      </c>
      <c r="O16" s="50" t="s">
        <v>24</v>
      </c>
      <c r="P16" s="44">
        <v>0</v>
      </c>
      <c r="Q16" s="51"/>
      <c r="R16" s="47" t="str">
        <f>IF(P16&gt;0,P16*9,"0")</f>
        <v>0</v>
      </c>
      <c r="S16" s="52" t="s">
        <v>24</v>
      </c>
    </row>
    <row r="17" spans="1:19" ht="6" customHeight="1" x14ac:dyDescent="0.2"/>
    <row r="18" spans="1:19" x14ac:dyDescent="0.2">
      <c r="A18" s="67" t="s">
        <v>41</v>
      </c>
      <c r="B18" s="53"/>
      <c r="C18" s="53"/>
      <c r="D18" s="53"/>
      <c r="E18" s="54"/>
      <c r="F18" s="56" t="s">
        <v>38</v>
      </c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8"/>
    </row>
    <row r="19" spans="1:19" x14ac:dyDescent="0.2">
      <c r="A19" s="78" t="s">
        <v>56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80"/>
    </row>
    <row r="20" spans="1:19" x14ac:dyDescent="0.2">
      <c r="A20" s="78" t="s">
        <v>65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80"/>
    </row>
    <row r="21" spans="1:19" x14ac:dyDescent="0.2">
      <c r="A21" s="78" t="s">
        <v>66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80"/>
    </row>
    <row r="22" spans="1:19" x14ac:dyDescent="0.2">
      <c r="A22" s="78" t="s">
        <v>62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80"/>
    </row>
    <row r="23" spans="1:19" x14ac:dyDescent="0.2">
      <c r="A23" s="78" t="s">
        <v>67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80"/>
    </row>
    <row r="24" spans="1:19" x14ac:dyDescent="0.2">
      <c r="A24" s="78" t="s">
        <v>68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80"/>
    </row>
    <row r="25" spans="1:19" x14ac:dyDescent="0.2">
      <c r="A25" s="78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80"/>
    </row>
    <row r="26" spans="1:19" x14ac:dyDescent="0.2">
      <c r="A26" s="78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80"/>
    </row>
    <row r="27" spans="1:19" x14ac:dyDescent="0.2">
      <c r="A27" s="85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7"/>
    </row>
    <row r="28" spans="1:19" ht="5.25" customHeight="1" x14ac:dyDescent="0.2"/>
    <row r="29" spans="1:19" x14ac:dyDescent="0.2">
      <c r="A29" s="69" t="s">
        <v>39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3"/>
    </row>
    <row r="30" spans="1:19" x14ac:dyDescent="0.2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80"/>
    </row>
    <row r="31" spans="1:19" x14ac:dyDescent="0.2">
      <c r="A31" s="78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80"/>
    </row>
    <row r="32" spans="1:19" x14ac:dyDescent="0.2">
      <c r="A32" s="78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80"/>
    </row>
    <row r="33" spans="1:19" x14ac:dyDescent="0.2">
      <c r="A33" s="78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80"/>
    </row>
    <row r="34" spans="1:19" x14ac:dyDescent="0.2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80"/>
    </row>
    <row r="35" spans="1:19" x14ac:dyDescent="0.2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7"/>
    </row>
    <row r="36" spans="1:19" ht="4.5" customHeight="1" x14ac:dyDescent="0.2"/>
    <row r="37" spans="1:19" x14ac:dyDescent="0.2">
      <c r="A37" s="69" t="s">
        <v>40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3"/>
    </row>
    <row r="38" spans="1:19" x14ac:dyDescent="0.2">
      <c r="A38" s="78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80"/>
    </row>
    <row r="39" spans="1:19" x14ac:dyDescent="0.2">
      <c r="A39" s="75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7"/>
    </row>
    <row r="40" spans="1:19" ht="4.5" customHeight="1" x14ac:dyDescent="0.2"/>
    <row r="41" spans="1:19" x14ac:dyDescent="0.2">
      <c r="A41" s="69" t="s">
        <v>42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</row>
    <row r="42" spans="1:19" x14ac:dyDescent="0.2">
      <c r="A42" s="78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80"/>
    </row>
    <row r="43" spans="1:19" x14ac:dyDescent="0.2">
      <c r="A43" s="75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7"/>
    </row>
    <row r="44" spans="1:19" ht="6" customHeight="1" x14ac:dyDescent="0.2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</row>
    <row r="45" spans="1:19" x14ac:dyDescent="0.2">
      <c r="A45" s="61" t="s">
        <v>43</v>
      </c>
      <c r="B45" s="10"/>
      <c r="C45" s="81"/>
      <c r="D45" s="82"/>
      <c r="E45" s="83"/>
      <c r="F45" s="81"/>
      <c r="G45" s="82"/>
      <c r="H45" s="82"/>
      <c r="I45" s="83"/>
      <c r="J45" s="61" t="s">
        <v>43</v>
      </c>
      <c r="K45" s="10"/>
      <c r="L45" s="81" t="s">
        <v>44</v>
      </c>
      <c r="M45" s="82"/>
      <c r="N45" s="83"/>
      <c r="O45" s="84">
        <f>Q2</f>
        <v>45792</v>
      </c>
      <c r="P45" s="82"/>
      <c r="Q45" s="82"/>
      <c r="R45" s="82"/>
      <c r="S45" s="83"/>
    </row>
    <row r="46" spans="1:19" x14ac:dyDescent="0.2">
      <c r="A46" s="72" t="s">
        <v>45</v>
      </c>
      <c r="B46" s="2"/>
      <c r="C46" s="2"/>
      <c r="D46" s="2"/>
      <c r="E46" s="2"/>
      <c r="F46" s="2"/>
      <c r="G46" s="2"/>
      <c r="H46" s="2"/>
      <c r="I46" s="3"/>
      <c r="J46" s="72" t="s">
        <v>46</v>
      </c>
      <c r="K46" s="2"/>
      <c r="L46" s="2"/>
      <c r="M46" s="2"/>
      <c r="N46" s="2"/>
      <c r="O46" s="2"/>
      <c r="P46" s="2"/>
      <c r="Q46" s="2"/>
      <c r="R46" s="2"/>
      <c r="S46" s="3"/>
    </row>
    <row r="47" spans="1:19" x14ac:dyDescent="0.2">
      <c r="A47" s="70"/>
      <c r="B47" s="9"/>
      <c r="C47" s="9"/>
      <c r="D47" s="9"/>
      <c r="E47" s="9"/>
      <c r="F47" s="9"/>
      <c r="G47" s="9"/>
      <c r="H47" s="9"/>
      <c r="I47" s="71"/>
      <c r="J47" s="70"/>
      <c r="K47" s="9"/>
      <c r="L47" s="9"/>
      <c r="M47" s="9"/>
      <c r="N47" s="9"/>
      <c r="O47" s="9"/>
      <c r="P47" s="9"/>
      <c r="Q47" s="9"/>
      <c r="R47" s="9"/>
      <c r="S47" s="71"/>
    </row>
    <row r="48" spans="1:19" x14ac:dyDescent="0.2">
      <c r="A48" s="70"/>
      <c r="B48" s="9"/>
      <c r="C48" s="9"/>
      <c r="D48" s="9"/>
      <c r="E48" s="9"/>
      <c r="F48" s="9"/>
      <c r="G48" s="9"/>
      <c r="H48" s="9"/>
      <c r="I48" s="71"/>
      <c r="J48" s="70"/>
      <c r="K48" s="9"/>
      <c r="L48" s="9"/>
      <c r="M48" s="9"/>
      <c r="N48" s="9"/>
      <c r="O48" s="9"/>
      <c r="P48" s="9"/>
      <c r="Q48" s="9"/>
      <c r="R48" s="9"/>
      <c r="S48" s="71"/>
    </row>
    <row r="49" spans="1:19" x14ac:dyDescent="0.2">
      <c r="A49" s="70"/>
      <c r="B49" s="9"/>
      <c r="C49" s="9"/>
      <c r="D49" s="9"/>
      <c r="E49" s="9"/>
      <c r="F49" s="9"/>
      <c r="G49" s="9"/>
      <c r="H49" s="9"/>
      <c r="I49" s="71"/>
      <c r="J49" s="70"/>
      <c r="K49" s="9"/>
      <c r="L49" s="9"/>
      <c r="M49" s="9"/>
      <c r="N49" s="9"/>
      <c r="O49" s="9"/>
      <c r="P49" s="9"/>
      <c r="Q49" s="9"/>
      <c r="R49" s="9"/>
      <c r="S49" s="71"/>
    </row>
    <row r="50" spans="1:19" x14ac:dyDescent="0.2">
      <c r="A50" s="6"/>
      <c r="B50" s="7"/>
      <c r="C50" s="7"/>
      <c r="D50" s="7"/>
      <c r="E50" s="7"/>
      <c r="F50" s="7"/>
      <c r="G50" s="7"/>
      <c r="H50" s="7"/>
      <c r="I50" s="8"/>
      <c r="J50" s="6"/>
      <c r="K50" s="7"/>
      <c r="L50" s="7"/>
      <c r="M50" s="7"/>
      <c r="N50" s="7"/>
      <c r="O50" s="7"/>
      <c r="P50" s="7"/>
      <c r="Q50" s="7"/>
      <c r="R50" s="7"/>
      <c r="S50" s="8"/>
    </row>
  </sheetData>
  <mergeCells count="48">
    <mergeCell ref="A1:E1"/>
    <mergeCell ref="H1:I1"/>
    <mergeCell ref="O2:P2"/>
    <mergeCell ref="Q2:S2"/>
    <mergeCell ref="A3:B3"/>
    <mergeCell ref="C3:K3"/>
    <mergeCell ref="A5:B5"/>
    <mergeCell ref="C5:D5"/>
    <mergeCell ref="J5:L5"/>
    <mergeCell ref="M5:N5"/>
    <mergeCell ref="O5:S5"/>
    <mergeCell ref="A4:B4"/>
    <mergeCell ref="C4:D4"/>
    <mergeCell ref="J4:L4"/>
    <mergeCell ref="M4:N4"/>
    <mergeCell ref="O4:S4"/>
    <mergeCell ref="A22:S22"/>
    <mergeCell ref="A6:B6"/>
    <mergeCell ref="C6:D6"/>
    <mergeCell ref="J6:L6"/>
    <mergeCell ref="M6:N6"/>
    <mergeCell ref="O6:S6"/>
    <mergeCell ref="A8:B9"/>
    <mergeCell ref="M9:S9"/>
    <mergeCell ref="G11:H11"/>
    <mergeCell ref="P11:R11"/>
    <mergeCell ref="A19:S19"/>
    <mergeCell ref="A20:S20"/>
    <mergeCell ref="A21:S21"/>
    <mergeCell ref="A38:S38"/>
    <mergeCell ref="A23:S23"/>
    <mergeCell ref="A24:S24"/>
    <mergeCell ref="A25:S25"/>
    <mergeCell ref="A27:S27"/>
    <mergeCell ref="A30:S30"/>
    <mergeCell ref="A31:S31"/>
    <mergeCell ref="A32:S32"/>
    <mergeCell ref="A33:S33"/>
    <mergeCell ref="A34:S34"/>
    <mergeCell ref="A35:S35"/>
    <mergeCell ref="A26:S26"/>
    <mergeCell ref="A39:S39"/>
    <mergeCell ref="A42:S42"/>
    <mergeCell ref="A43:S43"/>
    <mergeCell ref="C45:E45"/>
    <mergeCell ref="F45:I45"/>
    <mergeCell ref="L45:N45"/>
    <mergeCell ref="O45:S45"/>
  </mergeCells>
  <pageMargins left="0.59055118110236227" right="0.19685039370078741" top="1.3779527559055118" bottom="0.74803149606299213" header="0.31496062992125984" footer="0.31496062992125984"/>
  <pageSetup paperSize="9" orientation="portrait" r:id="rId1"/>
  <headerFooter>
    <oddHeader>&amp;L&amp;"Arial,Standard"&amp;10
rhtb: projekt de gmbh
Valeska-Gert-Str. 1, 10243 Berlin
Tel. +49 159 043 59 453
projekt.de@rhtb.eu | rhtb.at&amp;R&amp;G</oddHeader>
    <oddFooter xml:space="preserve">&amp;C&amp;"Arial,Standard"&amp;9rhtb: projekt de gmbh, Valeska-Gert-Straße 1, 10243 Berlin 
Eingetragen beim Amtsgericht Charlottenburg, HRB 239576 B, DE 350317480, Steuer-Nr. 37/491/50666
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1307D-198A-44E7-81B3-40FA97BFE2C8}">
  <sheetPr>
    <pageSetUpPr fitToPage="1"/>
  </sheetPr>
  <dimension ref="A1:S50"/>
  <sheetViews>
    <sheetView view="pageLayout" zoomScale="140" zoomScaleNormal="100" zoomScalePageLayoutView="140" workbookViewId="0">
      <selection activeCell="A25" sqref="A25:S25"/>
    </sheetView>
  </sheetViews>
  <sheetFormatPr baseColWidth="10" defaultColWidth="11.42578125" defaultRowHeight="14.25" x14ac:dyDescent="0.2"/>
  <cols>
    <col min="1" max="8" width="4.85546875" style="1" customWidth="1"/>
    <col min="9" max="9" width="6.7109375" style="1" customWidth="1"/>
    <col min="10" max="19" width="4.85546875" style="1" customWidth="1"/>
    <col min="20" max="16384" width="11.42578125" style="1"/>
  </cols>
  <sheetData>
    <row r="1" spans="1:19" ht="21" customHeight="1" x14ac:dyDescent="0.2">
      <c r="A1" s="101" t="s">
        <v>0</v>
      </c>
      <c r="B1" s="102"/>
      <c r="C1" s="102"/>
      <c r="D1" s="102"/>
      <c r="E1" s="102"/>
      <c r="F1" s="11"/>
      <c r="G1" s="11"/>
      <c r="H1" s="103" t="s">
        <v>48</v>
      </c>
      <c r="I1" s="103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 ht="23.25" customHeight="1" x14ac:dyDescent="0.2">
      <c r="A2" s="62" t="s">
        <v>1</v>
      </c>
      <c r="B2" s="63"/>
      <c r="C2" s="63"/>
      <c r="D2" s="63"/>
      <c r="E2" s="59"/>
      <c r="F2" s="59"/>
      <c r="G2" s="59"/>
      <c r="H2" s="59"/>
      <c r="I2" s="60" t="s">
        <v>2</v>
      </c>
      <c r="J2" s="73" t="str" cm="1">
        <f t="array" aca="1" ref="J2" ca="1">MID(CELL("dateiname",J2),FIND("]",CELL("dateiname",J2))+4,31)</f>
        <v xml:space="preserve"> 230</v>
      </c>
      <c r="K2" s="73"/>
      <c r="L2" s="59"/>
      <c r="M2" s="59"/>
      <c r="N2" s="59"/>
      <c r="O2" s="104" t="s">
        <v>3</v>
      </c>
      <c r="P2" s="104"/>
      <c r="Q2" s="105">
        <v>45791</v>
      </c>
      <c r="R2" s="106"/>
      <c r="S2" s="107"/>
    </row>
    <row r="3" spans="1:19" s="13" customFormat="1" ht="28.5" customHeight="1" x14ac:dyDescent="0.25">
      <c r="A3" s="108" t="s">
        <v>4</v>
      </c>
      <c r="B3" s="109"/>
      <c r="C3" s="110" t="s">
        <v>47</v>
      </c>
      <c r="D3" s="110"/>
      <c r="E3" s="110"/>
      <c r="F3" s="110"/>
      <c r="G3" s="110"/>
      <c r="H3" s="110"/>
      <c r="I3" s="110"/>
      <c r="J3" s="110"/>
      <c r="K3" s="110"/>
      <c r="L3" s="15"/>
      <c r="S3" s="14"/>
    </row>
    <row r="4" spans="1:19" x14ac:dyDescent="0.2">
      <c r="A4" s="88" t="s">
        <v>5</v>
      </c>
      <c r="B4" s="89"/>
      <c r="C4" s="90" t="s">
        <v>49</v>
      </c>
      <c r="D4" s="90"/>
      <c r="E4" s="65" t="s">
        <v>6</v>
      </c>
      <c r="F4" s="55" t="s">
        <v>50</v>
      </c>
      <c r="G4" s="64" t="s">
        <v>7</v>
      </c>
      <c r="H4" s="74" t="s">
        <v>54</v>
      </c>
      <c r="I4" s="66" t="s">
        <v>8</v>
      </c>
      <c r="J4" s="90" t="s">
        <v>55</v>
      </c>
      <c r="K4" s="90"/>
      <c r="L4" s="90"/>
      <c r="M4" s="91" t="s">
        <v>9</v>
      </c>
      <c r="N4" s="91"/>
      <c r="O4" s="90" t="s">
        <v>10</v>
      </c>
      <c r="P4" s="90"/>
      <c r="Q4" s="90"/>
      <c r="R4" s="90"/>
      <c r="S4" s="92"/>
    </row>
    <row r="5" spans="1:19" x14ac:dyDescent="0.2">
      <c r="A5" s="88" t="s">
        <v>5</v>
      </c>
      <c r="B5" s="89"/>
      <c r="C5" s="90" t="s">
        <v>49</v>
      </c>
      <c r="D5" s="90"/>
      <c r="E5" s="65" t="s">
        <v>6</v>
      </c>
      <c r="F5" s="55" t="s">
        <v>52</v>
      </c>
      <c r="G5" s="64" t="s">
        <v>7</v>
      </c>
      <c r="H5" s="74" t="s">
        <v>54</v>
      </c>
      <c r="I5" s="66" t="s">
        <v>8</v>
      </c>
      <c r="J5" s="90" t="s">
        <v>55</v>
      </c>
      <c r="K5" s="90"/>
      <c r="L5" s="90"/>
      <c r="M5" s="91" t="s">
        <v>9</v>
      </c>
      <c r="N5" s="91"/>
      <c r="O5" s="90" t="s">
        <v>10</v>
      </c>
      <c r="P5" s="90"/>
      <c r="Q5" s="90"/>
      <c r="R5" s="90"/>
      <c r="S5" s="92"/>
    </row>
    <row r="6" spans="1:19" x14ac:dyDescent="0.2">
      <c r="A6" s="88" t="s">
        <v>5</v>
      </c>
      <c r="B6" s="89"/>
      <c r="C6" s="90" t="s">
        <v>49</v>
      </c>
      <c r="D6" s="90"/>
      <c r="E6" s="65" t="s">
        <v>6</v>
      </c>
      <c r="F6" s="55" t="s">
        <v>53</v>
      </c>
      <c r="G6" s="64" t="s">
        <v>7</v>
      </c>
      <c r="H6" s="74" t="s">
        <v>54</v>
      </c>
      <c r="I6" s="66" t="s">
        <v>8</v>
      </c>
      <c r="J6" s="90" t="s">
        <v>55</v>
      </c>
      <c r="K6" s="90"/>
      <c r="L6" s="90"/>
      <c r="M6" s="91" t="s">
        <v>9</v>
      </c>
      <c r="N6" s="91"/>
      <c r="O6" s="90" t="s">
        <v>10</v>
      </c>
      <c r="P6" s="90"/>
      <c r="Q6" s="90"/>
      <c r="R6" s="90"/>
      <c r="S6" s="92"/>
    </row>
    <row r="7" spans="1:19" ht="6" customHeight="1" x14ac:dyDescent="0.2">
      <c r="B7" s="16"/>
      <c r="S7" s="5"/>
    </row>
    <row r="8" spans="1:19" s="13" customFormat="1" ht="17.100000000000001" customHeight="1" x14ac:dyDescent="0.25">
      <c r="A8" s="93" t="s">
        <v>11</v>
      </c>
      <c r="B8" s="94"/>
      <c r="C8" s="11"/>
      <c r="D8" s="17"/>
      <c r="E8" s="18" t="b">
        <v>0</v>
      </c>
      <c r="F8" s="19" t="s">
        <v>12</v>
      </c>
      <c r="G8" s="11"/>
      <c r="H8" s="11"/>
      <c r="I8" s="19" t="s">
        <v>14</v>
      </c>
      <c r="J8" s="11"/>
      <c r="K8" s="11"/>
      <c r="L8" s="18" t="b">
        <v>0</v>
      </c>
      <c r="M8" s="19" t="s">
        <v>16</v>
      </c>
      <c r="N8" s="11"/>
      <c r="O8" s="11"/>
      <c r="P8" s="20" t="s">
        <v>19</v>
      </c>
      <c r="Q8" s="11"/>
      <c r="R8" s="24" t="s">
        <v>20</v>
      </c>
      <c r="S8" s="12" t="s">
        <v>18</v>
      </c>
    </row>
    <row r="9" spans="1:19" s="13" customFormat="1" ht="17.100000000000001" customHeight="1" x14ac:dyDescent="0.25">
      <c r="A9" s="95"/>
      <c r="B9" s="96"/>
      <c r="C9" s="21"/>
      <c r="D9" s="21"/>
      <c r="E9" s="22" t="b">
        <v>0</v>
      </c>
      <c r="F9" s="23" t="s">
        <v>13</v>
      </c>
      <c r="G9" s="21"/>
      <c r="H9" s="21"/>
      <c r="I9" s="23" t="s">
        <v>15</v>
      </c>
      <c r="J9" s="21"/>
      <c r="K9" s="21"/>
      <c r="L9" s="22" t="b">
        <v>1</v>
      </c>
      <c r="M9" s="97" t="s">
        <v>17</v>
      </c>
      <c r="N9" s="97"/>
      <c r="O9" s="97"/>
      <c r="P9" s="97"/>
      <c r="Q9" s="97"/>
      <c r="R9" s="97"/>
      <c r="S9" s="98"/>
    </row>
    <row r="10" spans="1:19" ht="7.5" customHeight="1" x14ac:dyDescent="0.2">
      <c r="A10" s="4"/>
      <c r="S10" s="5"/>
    </row>
    <row r="11" spans="1:19" x14ac:dyDescent="0.2">
      <c r="A11" s="31" t="s">
        <v>37</v>
      </c>
      <c r="B11" s="17"/>
      <c r="C11" s="17"/>
      <c r="D11" s="17"/>
      <c r="E11" s="17"/>
      <c r="F11" s="32"/>
      <c r="G11" s="99">
        <f>F13</f>
        <v>70</v>
      </c>
      <c r="H11" s="99"/>
      <c r="I11" s="33"/>
      <c r="J11" s="34"/>
      <c r="K11" s="2"/>
      <c r="L11" s="17" t="s">
        <v>21</v>
      </c>
      <c r="M11" s="35"/>
      <c r="N11" s="35"/>
      <c r="O11" s="17"/>
      <c r="P11" s="100" t="s">
        <v>22</v>
      </c>
      <c r="Q11" s="100"/>
      <c r="R11" s="100"/>
      <c r="S11" s="3"/>
    </row>
    <row r="12" spans="1:19" x14ac:dyDescent="0.2">
      <c r="A12" s="36"/>
      <c r="B12" s="37"/>
      <c r="C12" s="37"/>
      <c r="D12" s="37"/>
      <c r="E12" s="37"/>
      <c r="F12" s="25"/>
      <c r="G12" s="25"/>
      <c r="H12" s="25"/>
      <c r="I12" s="25"/>
      <c r="J12" s="25"/>
      <c r="K12" s="37"/>
      <c r="L12" s="38"/>
      <c r="M12" s="38"/>
      <c r="N12" s="38"/>
      <c r="O12" s="25"/>
      <c r="P12" s="25"/>
      <c r="Q12" s="25"/>
      <c r="R12" s="25"/>
      <c r="S12" s="5"/>
    </row>
    <row r="13" spans="1:19" s="28" customFormat="1" ht="11.25" x14ac:dyDescent="0.25">
      <c r="A13" s="30">
        <v>1</v>
      </c>
      <c r="B13" s="26" t="s">
        <v>23</v>
      </c>
      <c r="D13" s="39">
        <f>IF(A13&gt;0,A13*9,"0")</f>
        <v>9</v>
      </c>
      <c r="E13" s="39" t="s">
        <v>24</v>
      </c>
      <c r="F13" s="30">
        <v>70</v>
      </c>
      <c r="G13" s="26" t="s">
        <v>25</v>
      </c>
      <c r="H13" s="40"/>
      <c r="I13" s="39">
        <f>IF(F13&gt;0,F13*9,"0")</f>
        <v>630</v>
      </c>
      <c r="J13" s="39" t="s">
        <v>24</v>
      </c>
      <c r="K13" s="30">
        <v>0</v>
      </c>
      <c r="L13" s="27" t="s">
        <v>26</v>
      </c>
      <c r="M13" s="27"/>
      <c r="N13" s="39" t="str">
        <f>IF(K13&gt;0,K13*9,"0")</f>
        <v>0</v>
      </c>
      <c r="O13" s="29" t="s">
        <v>24</v>
      </c>
      <c r="P13" s="30"/>
      <c r="Q13" s="29" t="s">
        <v>27</v>
      </c>
      <c r="R13" s="29"/>
      <c r="S13" s="41"/>
    </row>
    <row r="14" spans="1:19" s="28" customFormat="1" ht="11.25" x14ac:dyDescent="0.25">
      <c r="A14" s="30">
        <v>1</v>
      </c>
      <c r="B14" s="26" t="s">
        <v>28</v>
      </c>
      <c r="D14" s="39">
        <f>IF(A14&gt;0,A14*9,"0")</f>
        <v>9</v>
      </c>
      <c r="E14" s="39" t="s">
        <v>24</v>
      </c>
      <c r="F14" s="30">
        <v>0</v>
      </c>
      <c r="G14" s="26" t="s">
        <v>29</v>
      </c>
      <c r="H14" s="39"/>
      <c r="I14" s="39" t="str">
        <f t="shared" ref="I14:I16" si="0">IF(F14&gt;0,F14*9,"0")</f>
        <v>0</v>
      </c>
      <c r="J14" s="39" t="s">
        <v>24</v>
      </c>
      <c r="K14" s="30">
        <v>0</v>
      </c>
      <c r="L14" s="27" t="s">
        <v>30</v>
      </c>
      <c r="M14" s="27"/>
      <c r="N14" s="39" t="str">
        <f>IF(K14&gt;0,K14*9,"0")</f>
        <v>0</v>
      </c>
      <c r="O14" s="29" t="s">
        <v>24</v>
      </c>
      <c r="P14" s="30">
        <v>0</v>
      </c>
      <c r="Q14" s="29"/>
      <c r="R14" s="39" t="str">
        <f>IF(P14&gt;0,P14*9,"0")</f>
        <v>0</v>
      </c>
      <c r="S14" s="42" t="s">
        <v>24</v>
      </c>
    </row>
    <row r="15" spans="1:19" s="28" customFormat="1" ht="11.25" x14ac:dyDescent="0.25">
      <c r="A15" s="30">
        <v>1</v>
      </c>
      <c r="B15" s="26" t="s">
        <v>31</v>
      </c>
      <c r="D15" s="39">
        <f>IF(A15&gt;0,A15*9,"0")</f>
        <v>9</v>
      </c>
      <c r="E15" s="39" t="s">
        <v>24</v>
      </c>
      <c r="F15" s="30">
        <v>0</v>
      </c>
      <c r="G15" s="26" t="s">
        <v>32</v>
      </c>
      <c r="H15" s="39"/>
      <c r="I15" s="39" t="str">
        <f t="shared" si="0"/>
        <v>0</v>
      </c>
      <c r="J15" s="39" t="s">
        <v>24</v>
      </c>
      <c r="K15" s="30">
        <v>0</v>
      </c>
      <c r="L15" s="43" t="s">
        <v>33</v>
      </c>
      <c r="M15" s="43"/>
      <c r="N15" s="39" t="str">
        <f>IF(K15&gt;0,K15*9,"0")</f>
        <v>0</v>
      </c>
      <c r="O15" s="29" t="s">
        <v>24</v>
      </c>
      <c r="P15" s="30">
        <v>0</v>
      </c>
      <c r="Q15" s="29"/>
      <c r="R15" s="39" t="str">
        <f>IF(P15&gt;0,P15*9,"0")</f>
        <v>0</v>
      </c>
      <c r="S15" s="42" t="s">
        <v>24</v>
      </c>
    </row>
    <row r="16" spans="1:19" s="28" customFormat="1" ht="11.25" x14ac:dyDescent="0.25">
      <c r="A16" s="44">
        <v>0</v>
      </c>
      <c r="B16" s="45" t="s">
        <v>34</v>
      </c>
      <c r="C16" s="46"/>
      <c r="D16" s="47" t="str">
        <f>IF(A16&gt;0,A16*9,"0")</f>
        <v>0</v>
      </c>
      <c r="E16" s="47" t="s">
        <v>24</v>
      </c>
      <c r="F16" s="44">
        <v>0</v>
      </c>
      <c r="G16" s="48" t="s">
        <v>35</v>
      </c>
      <c r="H16" s="47"/>
      <c r="I16" s="47" t="str">
        <f t="shared" si="0"/>
        <v>0</v>
      </c>
      <c r="J16" s="47" t="s">
        <v>24</v>
      </c>
      <c r="K16" s="44">
        <v>0</v>
      </c>
      <c r="L16" s="49" t="s">
        <v>36</v>
      </c>
      <c r="M16" s="49"/>
      <c r="N16" s="47" t="str">
        <f>IF(K16&gt;0,K16*9,"0")</f>
        <v>0</v>
      </c>
      <c r="O16" s="50" t="s">
        <v>24</v>
      </c>
      <c r="P16" s="44">
        <v>0</v>
      </c>
      <c r="Q16" s="51"/>
      <c r="R16" s="47" t="str">
        <f>IF(P16&gt;0,P16*9,"0")</f>
        <v>0</v>
      </c>
      <c r="S16" s="52" t="s">
        <v>24</v>
      </c>
    </row>
    <row r="17" spans="1:19" ht="6" customHeight="1" x14ac:dyDescent="0.2"/>
    <row r="18" spans="1:19" x14ac:dyDescent="0.2">
      <c r="A18" s="67" t="s">
        <v>41</v>
      </c>
      <c r="B18" s="53"/>
      <c r="C18" s="53"/>
      <c r="D18" s="53"/>
      <c r="E18" s="54"/>
      <c r="F18" s="56" t="s">
        <v>38</v>
      </c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8"/>
    </row>
    <row r="19" spans="1:19" x14ac:dyDescent="0.2">
      <c r="A19" s="78" t="s">
        <v>56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80"/>
    </row>
    <row r="20" spans="1:19" x14ac:dyDescent="0.2">
      <c r="A20" s="78" t="s">
        <v>65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80"/>
    </row>
    <row r="21" spans="1:19" x14ac:dyDescent="0.2">
      <c r="A21" s="78" t="s">
        <v>66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80"/>
    </row>
    <row r="22" spans="1:19" x14ac:dyDescent="0.2">
      <c r="A22" s="78" t="s">
        <v>62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80"/>
    </row>
    <row r="23" spans="1:19" x14ac:dyDescent="0.2">
      <c r="A23" s="78" t="s">
        <v>60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80"/>
    </row>
    <row r="24" spans="1:19" x14ac:dyDescent="0.2">
      <c r="A24" s="78" t="s">
        <v>64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80"/>
    </row>
    <row r="25" spans="1:19" x14ac:dyDescent="0.2">
      <c r="A25" s="78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80"/>
    </row>
    <row r="26" spans="1:19" x14ac:dyDescent="0.2">
      <c r="A26" s="78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80"/>
    </row>
    <row r="27" spans="1:19" x14ac:dyDescent="0.2">
      <c r="A27" s="85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7"/>
    </row>
    <row r="28" spans="1:19" ht="5.25" customHeight="1" x14ac:dyDescent="0.2"/>
    <row r="29" spans="1:19" x14ac:dyDescent="0.2">
      <c r="A29" s="69" t="s">
        <v>39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3"/>
    </row>
    <row r="30" spans="1:19" x14ac:dyDescent="0.2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80"/>
    </row>
    <row r="31" spans="1:19" x14ac:dyDescent="0.2">
      <c r="A31" s="78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80"/>
    </row>
    <row r="32" spans="1:19" x14ac:dyDescent="0.2">
      <c r="A32" s="78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80"/>
    </row>
    <row r="33" spans="1:19" x14ac:dyDescent="0.2">
      <c r="A33" s="78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80"/>
    </row>
    <row r="34" spans="1:19" x14ac:dyDescent="0.2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80"/>
    </row>
    <row r="35" spans="1:19" x14ac:dyDescent="0.2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7"/>
    </row>
    <row r="36" spans="1:19" ht="4.5" customHeight="1" x14ac:dyDescent="0.2"/>
    <row r="37" spans="1:19" x14ac:dyDescent="0.2">
      <c r="A37" s="69" t="s">
        <v>40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3"/>
    </row>
    <row r="38" spans="1:19" x14ac:dyDescent="0.2">
      <c r="A38" s="78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80"/>
    </row>
    <row r="39" spans="1:19" x14ac:dyDescent="0.2">
      <c r="A39" s="75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7"/>
    </row>
    <row r="40" spans="1:19" ht="4.5" customHeight="1" x14ac:dyDescent="0.2"/>
    <row r="41" spans="1:19" x14ac:dyDescent="0.2">
      <c r="A41" s="69" t="s">
        <v>42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</row>
    <row r="42" spans="1:19" x14ac:dyDescent="0.2">
      <c r="A42" s="78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80"/>
    </row>
    <row r="43" spans="1:19" x14ac:dyDescent="0.2">
      <c r="A43" s="75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7"/>
    </row>
    <row r="44" spans="1:19" ht="6" customHeight="1" x14ac:dyDescent="0.2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</row>
    <row r="45" spans="1:19" x14ac:dyDescent="0.2">
      <c r="A45" s="61" t="s">
        <v>43</v>
      </c>
      <c r="B45" s="10"/>
      <c r="C45" s="81"/>
      <c r="D45" s="82"/>
      <c r="E45" s="83"/>
      <c r="F45" s="81"/>
      <c r="G45" s="82"/>
      <c r="H45" s="82"/>
      <c r="I45" s="83"/>
      <c r="J45" s="61" t="s">
        <v>43</v>
      </c>
      <c r="K45" s="10"/>
      <c r="L45" s="81" t="s">
        <v>44</v>
      </c>
      <c r="M45" s="82"/>
      <c r="N45" s="83"/>
      <c r="O45" s="84">
        <f>Q2</f>
        <v>45791</v>
      </c>
      <c r="P45" s="82"/>
      <c r="Q45" s="82"/>
      <c r="R45" s="82"/>
      <c r="S45" s="83"/>
    </row>
    <row r="46" spans="1:19" x14ac:dyDescent="0.2">
      <c r="A46" s="72" t="s">
        <v>45</v>
      </c>
      <c r="B46" s="2"/>
      <c r="C46" s="2"/>
      <c r="D46" s="2"/>
      <c r="E46" s="2"/>
      <c r="F46" s="2"/>
      <c r="G46" s="2"/>
      <c r="H46" s="2"/>
      <c r="I46" s="3"/>
      <c r="J46" s="72" t="s">
        <v>46</v>
      </c>
      <c r="K46" s="2"/>
      <c r="L46" s="2"/>
      <c r="M46" s="2"/>
      <c r="N46" s="2"/>
      <c r="O46" s="2"/>
      <c r="P46" s="2"/>
      <c r="Q46" s="2"/>
      <c r="R46" s="2"/>
      <c r="S46" s="3"/>
    </row>
    <row r="47" spans="1:19" x14ac:dyDescent="0.2">
      <c r="A47" s="70"/>
      <c r="B47" s="9"/>
      <c r="C47" s="9"/>
      <c r="D47" s="9"/>
      <c r="E47" s="9"/>
      <c r="F47" s="9"/>
      <c r="G47" s="9"/>
      <c r="H47" s="9"/>
      <c r="I47" s="71"/>
      <c r="J47" s="70"/>
      <c r="K47" s="9"/>
      <c r="L47" s="9"/>
      <c r="M47" s="9"/>
      <c r="N47" s="9"/>
      <c r="O47" s="9"/>
      <c r="P47" s="9"/>
      <c r="Q47" s="9"/>
      <c r="R47" s="9"/>
      <c r="S47" s="71"/>
    </row>
    <row r="48" spans="1:19" x14ac:dyDescent="0.2">
      <c r="A48" s="70"/>
      <c r="B48" s="9"/>
      <c r="C48" s="9"/>
      <c r="D48" s="9"/>
      <c r="E48" s="9"/>
      <c r="F48" s="9"/>
      <c r="G48" s="9"/>
      <c r="H48" s="9"/>
      <c r="I48" s="71"/>
      <c r="J48" s="70"/>
      <c r="K48" s="9"/>
      <c r="L48" s="9"/>
      <c r="M48" s="9"/>
      <c r="N48" s="9"/>
      <c r="O48" s="9"/>
      <c r="P48" s="9"/>
      <c r="Q48" s="9"/>
      <c r="R48" s="9"/>
      <c r="S48" s="71"/>
    </row>
    <row r="49" spans="1:19" x14ac:dyDescent="0.2">
      <c r="A49" s="70"/>
      <c r="B49" s="9"/>
      <c r="C49" s="9"/>
      <c r="D49" s="9"/>
      <c r="E49" s="9"/>
      <c r="F49" s="9"/>
      <c r="G49" s="9"/>
      <c r="H49" s="9"/>
      <c r="I49" s="71"/>
      <c r="J49" s="70"/>
      <c r="K49" s="9"/>
      <c r="L49" s="9"/>
      <c r="M49" s="9"/>
      <c r="N49" s="9"/>
      <c r="O49" s="9"/>
      <c r="P49" s="9"/>
      <c r="Q49" s="9"/>
      <c r="R49" s="9"/>
      <c r="S49" s="71"/>
    </row>
    <row r="50" spans="1:19" x14ac:dyDescent="0.2">
      <c r="A50" s="6"/>
      <c r="B50" s="7"/>
      <c r="C50" s="7"/>
      <c r="D50" s="7"/>
      <c r="E50" s="7"/>
      <c r="F50" s="7"/>
      <c r="G50" s="7"/>
      <c r="H50" s="7"/>
      <c r="I50" s="8"/>
      <c r="J50" s="6"/>
      <c r="K50" s="7"/>
      <c r="L50" s="7"/>
      <c r="M50" s="7"/>
      <c r="N50" s="7"/>
      <c r="O50" s="7"/>
      <c r="P50" s="7"/>
      <c r="Q50" s="7"/>
      <c r="R50" s="7"/>
      <c r="S50" s="8"/>
    </row>
  </sheetData>
  <mergeCells count="48">
    <mergeCell ref="A1:E1"/>
    <mergeCell ref="H1:I1"/>
    <mergeCell ref="O2:P2"/>
    <mergeCell ref="Q2:S2"/>
    <mergeCell ref="A3:B3"/>
    <mergeCell ref="C3:K3"/>
    <mergeCell ref="A5:B5"/>
    <mergeCell ref="C5:D5"/>
    <mergeCell ref="J5:L5"/>
    <mergeCell ref="M5:N5"/>
    <mergeCell ref="O5:S5"/>
    <mergeCell ref="A4:B4"/>
    <mergeCell ref="C4:D4"/>
    <mergeCell ref="J4:L4"/>
    <mergeCell ref="M4:N4"/>
    <mergeCell ref="O4:S4"/>
    <mergeCell ref="A22:S22"/>
    <mergeCell ref="A6:B6"/>
    <mergeCell ref="C6:D6"/>
    <mergeCell ref="J6:L6"/>
    <mergeCell ref="M6:N6"/>
    <mergeCell ref="O6:S6"/>
    <mergeCell ref="A8:B9"/>
    <mergeCell ref="M9:S9"/>
    <mergeCell ref="G11:H11"/>
    <mergeCell ref="P11:R11"/>
    <mergeCell ref="A19:S19"/>
    <mergeCell ref="A20:S20"/>
    <mergeCell ref="A21:S21"/>
    <mergeCell ref="A38:S38"/>
    <mergeCell ref="A23:S23"/>
    <mergeCell ref="A24:S24"/>
    <mergeCell ref="A25:S25"/>
    <mergeCell ref="A26:S26"/>
    <mergeCell ref="A27:S27"/>
    <mergeCell ref="A30:S30"/>
    <mergeCell ref="A31:S31"/>
    <mergeCell ref="A32:S32"/>
    <mergeCell ref="A33:S33"/>
    <mergeCell ref="A34:S34"/>
    <mergeCell ref="A35:S35"/>
    <mergeCell ref="A39:S39"/>
    <mergeCell ref="A42:S42"/>
    <mergeCell ref="A43:S43"/>
    <mergeCell ref="C45:E45"/>
    <mergeCell ref="F45:I45"/>
    <mergeCell ref="L45:N45"/>
    <mergeCell ref="O45:S45"/>
  </mergeCells>
  <pageMargins left="0.59055118110236227" right="0.19685039370078741" top="1.3779527559055118" bottom="0.74803149606299213" header="0.31496062992125984" footer="0.31496062992125984"/>
  <pageSetup paperSize="9" orientation="portrait" r:id="rId1"/>
  <headerFooter>
    <oddHeader>&amp;L&amp;"Arial,Standard"&amp;10
rhtb: projekt de gmbh
Valeska-Gert-Str. 1, 10243 Berlin
Tel. +49 159 043 59 453
projekt.de@rhtb.eu | rhtb.at&amp;R&amp;G</oddHeader>
    <oddFooter xml:space="preserve">&amp;C&amp;"Arial,Standard"&amp;9rhtb: projekt de gmbh, Valeska-Gert-Straße 1, 10243 Berlin 
Eingetragen beim Amtsgericht Charlottenburg, HRB 239576 B, DE 350317480, Steuer-Nr. 37/491/50666
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7CAAA-6D8E-4287-B28A-A53026F0BE4C}">
  <sheetPr>
    <pageSetUpPr fitToPage="1"/>
  </sheetPr>
  <dimension ref="A1:S50"/>
  <sheetViews>
    <sheetView view="pageLayout" zoomScale="140" zoomScaleNormal="100" zoomScalePageLayoutView="140" workbookViewId="0">
      <selection activeCell="A25" sqref="A25:S25"/>
    </sheetView>
  </sheetViews>
  <sheetFormatPr baseColWidth="10" defaultColWidth="11.42578125" defaultRowHeight="14.25" x14ac:dyDescent="0.2"/>
  <cols>
    <col min="1" max="8" width="4.85546875" style="1" customWidth="1"/>
    <col min="9" max="9" width="6.7109375" style="1" customWidth="1"/>
    <col min="10" max="19" width="4.85546875" style="1" customWidth="1"/>
    <col min="20" max="16384" width="11.42578125" style="1"/>
  </cols>
  <sheetData>
    <row r="1" spans="1:19" ht="21" customHeight="1" x14ac:dyDescent="0.2">
      <c r="A1" s="101" t="s">
        <v>0</v>
      </c>
      <c r="B1" s="102"/>
      <c r="C1" s="102"/>
      <c r="D1" s="102"/>
      <c r="E1" s="102"/>
      <c r="F1" s="11"/>
      <c r="G1" s="11"/>
      <c r="H1" s="103" t="s">
        <v>48</v>
      </c>
      <c r="I1" s="103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 ht="23.25" customHeight="1" x14ac:dyDescent="0.2">
      <c r="A2" s="62" t="s">
        <v>1</v>
      </c>
      <c r="B2" s="63"/>
      <c r="C2" s="63"/>
      <c r="D2" s="63"/>
      <c r="E2" s="59"/>
      <c r="F2" s="59"/>
      <c r="G2" s="59"/>
      <c r="H2" s="59"/>
      <c r="I2" s="60" t="s">
        <v>2</v>
      </c>
      <c r="J2" s="73" t="str" cm="1">
        <f t="array" aca="1" ref="J2" ca="1">MID(CELL("dateiname",J2),FIND("]",CELL("dateiname",J2))+4,31)</f>
        <v xml:space="preserve"> 229</v>
      </c>
      <c r="K2" s="73"/>
      <c r="L2" s="59"/>
      <c r="M2" s="59"/>
      <c r="N2" s="59"/>
      <c r="O2" s="104" t="s">
        <v>3</v>
      </c>
      <c r="P2" s="104"/>
      <c r="Q2" s="105">
        <v>45790</v>
      </c>
      <c r="R2" s="106"/>
      <c r="S2" s="107"/>
    </row>
    <row r="3" spans="1:19" s="13" customFormat="1" ht="28.5" customHeight="1" x14ac:dyDescent="0.25">
      <c r="A3" s="108" t="s">
        <v>4</v>
      </c>
      <c r="B3" s="109"/>
      <c r="C3" s="110" t="s">
        <v>47</v>
      </c>
      <c r="D3" s="110"/>
      <c r="E3" s="110"/>
      <c r="F3" s="110"/>
      <c r="G3" s="110"/>
      <c r="H3" s="110"/>
      <c r="I3" s="110"/>
      <c r="J3" s="110"/>
      <c r="K3" s="110"/>
      <c r="L3" s="15"/>
      <c r="S3" s="14"/>
    </row>
    <row r="4" spans="1:19" x14ac:dyDescent="0.2">
      <c r="A4" s="88" t="s">
        <v>5</v>
      </c>
      <c r="B4" s="89"/>
      <c r="C4" s="90" t="s">
        <v>49</v>
      </c>
      <c r="D4" s="90"/>
      <c r="E4" s="65" t="s">
        <v>6</v>
      </c>
      <c r="F4" s="55" t="s">
        <v>50</v>
      </c>
      <c r="G4" s="64" t="s">
        <v>7</v>
      </c>
      <c r="H4" s="74" t="s">
        <v>54</v>
      </c>
      <c r="I4" s="66" t="s">
        <v>8</v>
      </c>
      <c r="J4" s="90" t="s">
        <v>55</v>
      </c>
      <c r="K4" s="90"/>
      <c r="L4" s="90"/>
      <c r="M4" s="91" t="s">
        <v>9</v>
      </c>
      <c r="N4" s="91"/>
      <c r="O4" s="90" t="s">
        <v>10</v>
      </c>
      <c r="P4" s="90"/>
      <c r="Q4" s="90"/>
      <c r="R4" s="90"/>
      <c r="S4" s="92"/>
    </row>
    <row r="5" spans="1:19" x14ac:dyDescent="0.2">
      <c r="A5" s="88" t="s">
        <v>5</v>
      </c>
      <c r="B5" s="89"/>
      <c r="C5" s="90" t="s">
        <v>49</v>
      </c>
      <c r="D5" s="90"/>
      <c r="E5" s="65" t="s">
        <v>6</v>
      </c>
      <c r="F5" s="55" t="s">
        <v>52</v>
      </c>
      <c r="G5" s="64" t="s">
        <v>7</v>
      </c>
      <c r="H5" s="74" t="s">
        <v>54</v>
      </c>
      <c r="I5" s="66" t="s">
        <v>8</v>
      </c>
      <c r="J5" s="90" t="s">
        <v>55</v>
      </c>
      <c r="K5" s="90"/>
      <c r="L5" s="90"/>
      <c r="M5" s="91" t="s">
        <v>9</v>
      </c>
      <c r="N5" s="91"/>
      <c r="O5" s="90" t="s">
        <v>10</v>
      </c>
      <c r="P5" s="90"/>
      <c r="Q5" s="90"/>
      <c r="R5" s="90"/>
      <c r="S5" s="92"/>
    </row>
    <row r="6" spans="1:19" x14ac:dyDescent="0.2">
      <c r="A6" s="88" t="s">
        <v>5</v>
      </c>
      <c r="B6" s="89"/>
      <c r="C6" s="90" t="s">
        <v>49</v>
      </c>
      <c r="D6" s="90"/>
      <c r="E6" s="65" t="s">
        <v>6</v>
      </c>
      <c r="F6" s="55" t="s">
        <v>53</v>
      </c>
      <c r="G6" s="64" t="s">
        <v>7</v>
      </c>
      <c r="H6" s="74" t="s">
        <v>54</v>
      </c>
      <c r="I6" s="66" t="s">
        <v>8</v>
      </c>
      <c r="J6" s="90" t="s">
        <v>55</v>
      </c>
      <c r="K6" s="90"/>
      <c r="L6" s="90"/>
      <c r="M6" s="91" t="s">
        <v>9</v>
      </c>
      <c r="N6" s="91"/>
      <c r="O6" s="90" t="s">
        <v>10</v>
      </c>
      <c r="P6" s="90"/>
      <c r="Q6" s="90"/>
      <c r="R6" s="90"/>
      <c r="S6" s="92"/>
    </row>
    <row r="7" spans="1:19" ht="6" customHeight="1" x14ac:dyDescent="0.2">
      <c r="B7" s="16"/>
      <c r="S7" s="5"/>
    </row>
    <row r="8" spans="1:19" s="13" customFormat="1" ht="17.100000000000001" customHeight="1" x14ac:dyDescent="0.25">
      <c r="A8" s="93" t="s">
        <v>11</v>
      </c>
      <c r="B8" s="94"/>
      <c r="C8" s="11"/>
      <c r="D8" s="17"/>
      <c r="E8" s="18" t="b">
        <v>0</v>
      </c>
      <c r="F8" s="19" t="s">
        <v>12</v>
      </c>
      <c r="G8" s="11"/>
      <c r="H8" s="11"/>
      <c r="I8" s="19" t="s">
        <v>14</v>
      </c>
      <c r="J8" s="11"/>
      <c r="K8" s="11"/>
      <c r="L8" s="18" t="b">
        <v>0</v>
      </c>
      <c r="M8" s="19" t="s">
        <v>16</v>
      </c>
      <c r="N8" s="11"/>
      <c r="O8" s="11"/>
      <c r="P8" s="20" t="s">
        <v>19</v>
      </c>
      <c r="Q8" s="11"/>
      <c r="R8" s="24" t="s">
        <v>20</v>
      </c>
      <c r="S8" s="12" t="s">
        <v>18</v>
      </c>
    </row>
    <row r="9" spans="1:19" s="13" customFormat="1" ht="17.100000000000001" customHeight="1" x14ac:dyDescent="0.25">
      <c r="A9" s="95"/>
      <c r="B9" s="96"/>
      <c r="C9" s="21"/>
      <c r="D9" s="21"/>
      <c r="E9" s="22" t="b">
        <v>0</v>
      </c>
      <c r="F9" s="23" t="s">
        <v>13</v>
      </c>
      <c r="G9" s="21"/>
      <c r="H9" s="21"/>
      <c r="I9" s="23" t="s">
        <v>15</v>
      </c>
      <c r="J9" s="21"/>
      <c r="K9" s="21"/>
      <c r="L9" s="22" t="b">
        <v>1</v>
      </c>
      <c r="M9" s="97" t="s">
        <v>17</v>
      </c>
      <c r="N9" s="97"/>
      <c r="O9" s="97"/>
      <c r="P9" s="97"/>
      <c r="Q9" s="97"/>
      <c r="R9" s="97"/>
      <c r="S9" s="98"/>
    </row>
    <row r="10" spans="1:19" ht="7.5" customHeight="1" x14ac:dyDescent="0.2">
      <c r="A10" s="4"/>
      <c r="S10" s="5"/>
    </row>
    <row r="11" spans="1:19" x14ac:dyDescent="0.2">
      <c r="A11" s="31" t="s">
        <v>37</v>
      </c>
      <c r="B11" s="17"/>
      <c r="C11" s="17"/>
      <c r="D11" s="17"/>
      <c r="E11" s="17"/>
      <c r="F11" s="32"/>
      <c r="G11" s="99">
        <f>F13</f>
        <v>71</v>
      </c>
      <c r="H11" s="99"/>
      <c r="I11" s="33"/>
      <c r="J11" s="34"/>
      <c r="K11" s="2"/>
      <c r="L11" s="17" t="s">
        <v>21</v>
      </c>
      <c r="M11" s="35"/>
      <c r="N11" s="35"/>
      <c r="O11" s="17"/>
      <c r="P11" s="100" t="s">
        <v>22</v>
      </c>
      <c r="Q11" s="100"/>
      <c r="R11" s="100"/>
      <c r="S11" s="3"/>
    </row>
    <row r="12" spans="1:19" x14ac:dyDescent="0.2">
      <c r="A12" s="36"/>
      <c r="B12" s="37"/>
      <c r="C12" s="37"/>
      <c r="D12" s="37"/>
      <c r="E12" s="37"/>
      <c r="F12" s="25"/>
      <c r="G12" s="25"/>
      <c r="H12" s="25"/>
      <c r="I12" s="25"/>
      <c r="J12" s="25"/>
      <c r="K12" s="37"/>
      <c r="L12" s="38"/>
      <c r="M12" s="38"/>
      <c r="N12" s="38"/>
      <c r="O12" s="25"/>
      <c r="P12" s="25"/>
      <c r="Q12" s="25"/>
      <c r="R12" s="25"/>
      <c r="S12" s="5"/>
    </row>
    <row r="13" spans="1:19" s="28" customFormat="1" ht="11.25" x14ac:dyDescent="0.25">
      <c r="A13" s="30">
        <v>1</v>
      </c>
      <c r="B13" s="26" t="s">
        <v>23</v>
      </c>
      <c r="D13" s="39">
        <f>IF(A13&gt;0,A13*9,"0")</f>
        <v>9</v>
      </c>
      <c r="E13" s="39" t="s">
        <v>24</v>
      </c>
      <c r="F13" s="30">
        <v>71</v>
      </c>
      <c r="G13" s="26" t="s">
        <v>25</v>
      </c>
      <c r="H13" s="40"/>
      <c r="I13" s="39">
        <f>IF(F13&gt;0,F13*9,"0")</f>
        <v>639</v>
      </c>
      <c r="J13" s="39" t="s">
        <v>24</v>
      </c>
      <c r="K13" s="30">
        <v>0</v>
      </c>
      <c r="L13" s="27" t="s">
        <v>26</v>
      </c>
      <c r="M13" s="27"/>
      <c r="N13" s="39" t="str">
        <f>IF(K13&gt;0,K13*9,"0")</f>
        <v>0</v>
      </c>
      <c r="O13" s="29" t="s">
        <v>24</v>
      </c>
      <c r="P13" s="30"/>
      <c r="Q13" s="29" t="s">
        <v>27</v>
      </c>
      <c r="R13" s="29"/>
      <c r="S13" s="41"/>
    </row>
    <row r="14" spans="1:19" s="28" customFormat="1" ht="11.25" x14ac:dyDescent="0.25">
      <c r="A14" s="30">
        <v>1</v>
      </c>
      <c r="B14" s="26" t="s">
        <v>28</v>
      </c>
      <c r="D14" s="39">
        <f>IF(A14&gt;0,A14*9,"0")</f>
        <v>9</v>
      </c>
      <c r="E14" s="39" t="s">
        <v>24</v>
      </c>
      <c r="F14" s="30">
        <v>0</v>
      </c>
      <c r="G14" s="26" t="s">
        <v>29</v>
      </c>
      <c r="H14" s="39"/>
      <c r="I14" s="39" t="str">
        <f t="shared" ref="I14:I16" si="0">IF(F14&gt;0,F14*9,"0")</f>
        <v>0</v>
      </c>
      <c r="J14" s="39" t="s">
        <v>24</v>
      </c>
      <c r="K14" s="30">
        <v>0</v>
      </c>
      <c r="L14" s="27" t="s">
        <v>30</v>
      </c>
      <c r="M14" s="27"/>
      <c r="N14" s="39" t="str">
        <f>IF(K14&gt;0,K14*9,"0")</f>
        <v>0</v>
      </c>
      <c r="O14" s="29" t="s">
        <v>24</v>
      </c>
      <c r="P14" s="30">
        <v>0</v>
      </c>
      <c r="Q14" s="29"/>
      <c r="R14" s="39" t="str">
        <f>IF(P14&gt;0,P14*9,"0")</f>
        <v>0</v>
      </c>
      <c r="S14" s="42" t="s">
        <v>24</v>
      </c>
    </row>
    <row r="15" spans="1:19" s="28" customFormat="1" ht="11.25" x14ac:dyDescent="0.25">
      <c r="A15" s="30">
        <v>1</v>
      </c>
      <c r="B15" s="26" t="s">
        <v>31</v>
      </c>
      <c r="D15" s="39">
        <f>IF(A15&gt;0,A15*9,"0")</f>
        <v>9</v>
      </c>
      <c r="E15" s="39" t="s">
        <v>24</v>
      </c>
      <c r="F15" s="30">
        <v>0</v>
      </c>
      <c r="G15" s="26" t="s">
        <v>32</v>
      </c>
      <c r="H15" s="39"/>
      <c r="I15" s="39" t="str">
        <f t="shared" si="0"/>
        <v>0</v>
      </c>
      <c r="J15" s="39" t="s">
        <v>24</v>
      </c>
      <c r="K15" s="30">
        <v>0</v>
      </c>
      <c r="L15" s="43" t="s">
        <v>33</v>
      </c>
      <c r="M15" s="43"/>
      <c r="N15" s="39" t="str">
        <f>IF(K15&gt;0,K15*9,"0")</f>
        <v>0</v>
      </c>
      <c r="O15" s="29" t="s">
        <v>24</v>
      </c>
      <c r="P15" s="30">
        <v>0</v>
      </c>
      <c r="Q15" s="29"/>
      <c r="R15" s="39" t="str">
        <f>IF(P15&gt;0,P15*9,"0")</f>
        <v>0</v>
      </c>
      <c r="S15" s="42" t="s">
        <v>24</v>
      </c>
    </row>
    <row r="16" spans="1:19" s="28" customFormat="1" ht="11.25" x14ac:dyDescent="0.25">
      <c r="A16" s="44">
        <v>0</v>
      </c>
      <c r="B16" s="45" t="s">
        <v>34</v>
      </c>
      <c r="C16" s="46"/>
      <c r="D16" s="47" t="str">
        <f>IF(A16&gt;0,A16*9,"0")</f>
        <v>0</v>
      </c>
      <c r="E16" s="47" t="s">
        <v>24</v>
      </c>
      <c r="F16" s="44">
        <v>0</v>
      </c>
      <c r="G16" s="48" t="s">
        <v>35</v>
      </c>
      <c r="H16" s="47"/>
      <c r="I16" s="47" t="str">
        <f t="shared" si="0"/>
        <v>0</v>
      </c>
      <c r="J16" s="47" t="s">
        <v>24</v>
      </c>
      <c r="K16" s="44">
        <v>0</v>
      </c>
      <c r="L16" s="49" t="s">
        <v>36</v>
      </c>
      <c r="M16" s="49"/>
      <c r="N16" s="47" t="str">
        <f>IF(K16&gt;0,K16*9,"0")</f>
        <v>0</v>
      </c>
      <c r="O16" s="50" t="s">
        <v>24</v>
      </c>
      <c r="P16" s="44">
        <v>0</v>
      </c>
      <c r="Q16" s="51"/>
      <c r="R16" s="47" t="str">
        <f>IF(P16&gt;0,P16*9,"0")</f>
        <v>0</v>
      </c>
      <c r="S16" s="52" t="s">
        <v>24</v>
      </c>
    </row>
    <row r="17" spans="1:19" ht="6" customHeight="1" x14ac:dyDescent="0.2"/>
    <row r="18" spans="1:19" x14ac:dyDescent="0.2">
      <c r="A18" s="67" t="s">
        <v>41</v>
      </c>
      <c r="B18" s="53"/>
      <c r="C18" s="53"/>
      <c r="D18" s="53"/>
      <c r="E18" s="54"/>
      <c r="F18" s="56" t="s">
        <v>38</v>
      </c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8"/>
    </row>
    <row r="19" spans="1:19" x14ac:dyDescent="0.2">
      <c r="A19" s="78" t="s">
        <v>56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80"/>
    </row>
    <row r="20" spans="1:19" x14ac:dyDescent="0.2">
      <c r="A20" s="78" t="s">
        <v>59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80"/>
    </row>
    <row r="21" spans="1:19" x14ac:dyDescent="0.2">
      <c r="A21" s="78" t="s">
        <v>57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80"/>
    </row>
    <row r="22" spans="1:19" x14ac:dyDescent="0.2">
      <c r="A22" s="78" t="s">
        <v>62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80"/>
    </row>
    <row r="23" spans="1:19" x14ac:dyDescent="0.2">
      <c r="A23" s="78" t="s">
        <v>60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80"/>
    </row>
    <row r="24" spans="1:19" x14ac:dyDescent="0.2">
      <c r="A24" s="78" t="s">
        <v>64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80"/>
    </row>
    <row r="25" spans="1:19" x14ac:dyDescent="0.2">
      <c r="A25" s="78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80"/>
    </row>
    <row r="26" spans="1:19" x14ac:dyDescent="0.2">
      <c r="A26" s="78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80"/>
    </row>
    <row r="27" spans="1:19" x14ac:dyDescent="0.2">
      <c r="A27" s="85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7"/>
    </row>
    <row r="28" spans="1:19" ht="5.25" customHeight="1" x14ac:dyDescent="0.2"/>
    <row r="29" spans="1:19" x14ac:dyDescent="0.2">
      <c r="A29" s="69" t="s">
        <v>39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3"/>
    </row>
    <row r="30" spans="1:19" x14ac:dyDescent="0.2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80"/>
    </row>
    <row r="31" spans="1:19" x14ac:dyDescent="0.2">
      <c r="A31" s="78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80"/>
    </row>
    <row r="32" spans="1:19" x14ac:dyDescent="0.2">
      <c r="A32" s="78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80"/>
    </row>
    <row r="33" spans="1:19" x14ac:dyDescent="0.2">
      <c r="A33" s="78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80"/>
    </row>
    <row r="34" spans="1:19" x14ac:dyDescent="0.2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80"/>
    </row>
    <row r="35" spans="1:19" x14ac:dyDescent="0.2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7"/>
    </row>
    <row r="36" spans="1:19" ht="4.5" customHeight="1" x14ac:dyDescent="0.2"/>
    <row r="37" spans="1:19" x14ac:dyDescent="0.2">
      <c r="A37" s="69" t="s">
        <v>40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3"/>
    </row>
    <row r="38" spans="1:19" x14ac:dyDescent="0.2">
      <c r="A38" s="78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80"/>
    </row>
    <row r="39" spans="1:19" x14ac:dyDescent="0.2">
      <c r="A39" s="75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7"/>
    </row>
    <row r="40" spans="1:19" ht="4.5" customHeight="1" x14ac:dyDescent="0.2"/>
    <row r="41" spans="1:19" x14ac:dyDescent="0.2">
      <c r="A41" s="69" t="s">
        <v>42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</row>
    <row r="42" spans="1:19" x14ac:dyDescent="0.2">
      <c r="A42" s="78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80"/>
    </row>
    <row r="43" spans="1:19" x14ac:dyDescent="0.2">
      <c r="A43" s="75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7"/>
    </row>
    <row r="44" spans="1:19" ht="6" customHeight="1" x14ac:dyDescent="0.2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</row>
    <row r="45" spans="1:19" x14ac:dyDescent="0.2">
      <c r="A45" s="61" t="s">
        <v>43</v>
      </c>
      <c r="B45" s="10"/>
      <c r="C45" s="81"/>
      <c r="D45" s="82"/>
      <c r="E45" s="83"/>
      <c r="F45" s="81"/>
      <c r="G45" s="82"/>
      <c r="H45" s="82"/>
      <c r="I45" s="83"/>
      <c r="J45" s="61" t="s">
        <v>43</v>
      </c>
      <c r="K45" s="10"/>
      <c r="L45" s="81" t="s">
        <v>44</v>
      </c>
      <c r="M45" s="82"/>
      <c r="N45" s="83"/>
      <c r="O45" s="84">
        <f>Q2</f>
        <v>45790</v>
      </c>
      <c r="P45" s="82"/>
      <c r="Q45" s="82"/>
      <c r="R45" s="82"/>
      <c r="S45" s="83"/>
    </row>
    <row r="46" spans="1:19" x14ac:dyDescent="0.2">
      <c r="A46" s="72" t="s">
        <v>45</v>
      </c>
      <c r="B46" s="2"/>
      <c r="C46" s="2"/>
      <c r="D46" s="2"/>
      <c r="E46" s="2"/>
      <c r="F46" s="2"/>
      <c r="G46" s="2"/>
      <c r="H46" s="2"/>
      <c r="I46" s="3"/>
      <c r="J46" s="72" t="s">
        <v>46</v>
      </c>
      <c r="K46" s="2"/>
      <c r="L46" s="2"/>
      <c r="M46" s="2"/>
      <c r="N46" s="2"/>
      <c r="O46" s="2"/>
      <c r="P46" s="2"/>
      <c r="Q46" s="2"/>
      <c r="R46" s="2"/>
      <c r="S46" s="3"/>
    </row>
    <row r="47" spans="1:19" x14ac:dyDescent="0.2">
      <c r="A47" s="70"/>
      <c r="B47" s="9"/>
      <c r="C47" s="9"/>
      <c r="D47" s="9"/>
      <c r="E47" s="9"/>
      <c r="F47" s="9"/>
      <c r="G47" s="9"/>
      <c r="H47" s="9"/>
      <c r="I47" s="71"/>
      <c r="J47" s="70"/>
      <c r="K47" s="9"/>
      <c r="L47" s="9"/>
      <c r="M47" s="9"/>
      <c r="N47" s="9"/>
      <c r="O47" s="9"/>
      <c r="P47" s="9"/>
      <c r="Q47" s="9"/>
      <c r="R47" s="9"/>
      <c r="S47" s="71"/>
    </row>
    <row r="48" spans="1:19" x14ac:dyDescent="0.2">
      <c r="A48" s="70"/>
      <c r="B48" s="9"/>
      <c r="C48" s="9"/>
      <c r="D48" s="9"/>
      <c r="E48" s="9"/>
      <c r="F48" s="9"/>
      <c r="G48" s="9"/>
      <c r="H48" s="9"/>
      <c r="I48" s="71"/>
      <c r="J48" s="70"/>
      <c r="K48" s="9"/>
      <c r="L48" s="9"/>
      <c r="M48" s="9"/>
      <c r="N48" s="9"/>
      <c r="O48" s="9"/>
      <c r="P48" s="9"/>
      <c r="Q48" s="9"/>
      <c r="R48" s="9"/>
      <c r="S48" s="71"/>
    </row>
    <row r="49" spans="1:19" x14ac:dyDescent="0.2">
      <c r="A49" s="70"/>
      <c r="B49" s="9"/>
      <c r="C49" s="9"/>
      <c r="D49" s="9"/>
      <c r="E49" s="9"/>
      <c r="F49" s="9"/>
      <c r="G49" s="9"/>
      <c r="H49" s="9"/>
      <c r="I49" s="71"/>
      <c r="J49" s="70"/>
      <c r="K49" s="9"/>
      <c r="L49" s="9"/>
      <c r="M49" s="9"/>
      <c r="N49" s="9"/>
      <c r="O49" s="9"/>
      <c r="P49" s="9"/>
      <c r="Q49" s="9"/>
      <c r="R49" s="9"/>
      <c r="S49" s="71"/>
    </row>
    <row r="50" spans="1:19" x14ac:dyDescent="0.2">
      <c r="A50" s="6"/>
      <c r="B50" s="7"/>
      <c r="C50" s="7"/>
      <c r="D50" s="7"/>
      <c r="E50" s="7"/>
      <c r="F50" s="7"/>
      <c r="G50" s="7"/>
      <c r="H50" s="7"/>
      <c r="I50" s="8"/>
      <c r="J50" s="6"/>
      <c r="K50" s="7"/>
      <c r="L50" s="7"/>
      <c r="M50" s="7"/>
      <c r="N50" s="7"/>
      <c r="O50" s="7"/>
      <c r="P50" s="7"/>
      <c r="Q50" s="7"/>
      <c r="R50" s="7"/>
      <c r="S50" s="8"/>
    </row>
  </sheetData>
  <mergeCells count="48">
    <mergeCell ref="A1:E1"/>
    <mergeCell ref="H1:I1"/>
    <mergeCell ref="O2:P2"/>
    <mergeCell ref="Q2:S2"/>
    <mergeCell ref="A3:B3"/>
    <mergeCell ref="C3:K3"/>
    <mergeCell ref="A5:B5"/>
    <mergeCell ref="C5:D5"/>
    <mergeCell ref="J5:L5"/>
    <mergeCell ref="M5:N5"/>
    <mergeCell ref="O5:S5"/>
    <mergeCell ref="A4:B4"/>
    <mergeCell ref="C4:D4"/>
    <mergeCell ref="J4:L4"/>
    <mergeCell ref="M4:N4"/>
    <mergeCell ref="O4:S4"/>
    <mergeCell ref="A22:S22"/>
    <mergeCell ref="A6:B6"/>
    <mergeCell ref="C6:D6"/>
    <mergeCell ref="J6:L6"/>
    <mergeCell ref="M6:N6"/>
    <mergeCell ref="O6:S6"/>
    <mergeCell ref="A8:B9"/>
    <mergeCell ref="M9:S9"/>
    <mergeCell ref="G11:H11"/>
    <mergeCell ref="P11:R11"/>
    <mergeCell ref="A19:S19"/>
    <mergeCell ref="A20:S20"/>
    <mergeCell ref="A21:S21"/>
    <mergeCell ref="A38:S38"/>
    <mergeCell ref="A23:S23"/>
    <mergeCell ref="A24:S24"/>
    <mergeCell ref="A25:S25"/>
    <mergeCell ref="A26:S26"/>
    <mergeCell ref="A27:S27"/>
    <mergeCell ref="A30:S30"/>
    <mergeCell ref="A31:S31"/>
    <mergeCell ref="A32:S32"/>
    <mergeCell ref="A33:S33"/>
    <mergeCell ref="A34:S34"/>
    <mergeCell ref="A35:S35"/>
    <mergeCell ref="A39:S39"/>
    <mergeCell ref="A42:S42"/>
    <mergeCell ref="A43:S43"/>
    <mergeCell ref="C45:E45"/>
    <mergeCell ref="F45:I45"/>
    <mergeCell ref="L45:N45"/>
    <mergeCell ref="O45:S45"/>
  </mergeCells>
  <pageMargins left="0.59055118110236227" right="0.19685039370078741" top="1.3779527559055118" bottom="0.74803149606299213" header="0.31496062992125984" footer="0.31496062992125984"/>
  <pageSetup paperSize="9" orientation="portrait" r:id="rId1"/>
  <headerFooter>
    <oddHeader>&amp;L&amp;"Arial,Standard"&amp;10
rhtb: projekt de gmbh
Valeska-Gert-Str. 1, 10243 Berlin
Tel. +49 159 043 59 453
projekt.de@rhtb.eu | rhtb.at&amp;R&amp;G</oddHeader>
    <oddFooter xml:space="preserve">&amp;C&amp;"Arial,Standard"&amp;9rhtb: projekt de gmbh, Valeska-Gert-Straße 1, 10243 Berlin 
Eingetragen beim Amtsgericht Charlottenburg, HRB 239576 B, DE 350317480, Steuer-Nr. 37/491/50666
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8C141-4B20-434D-9079-7F75D056C135}">
  <sheetPr>
    <pageSetUpPr fitToPage="1"/>
  </sheetPr>
  <dimension ref="A1:S50"/>
  <sheetViews>
    <sheetView tabSelected="1" view="pageLayout" zoomScale="140" zoomScaleNormal="100" zoomScalePageLayoutView="140" workbookViewId="0">
      <selection activeCell="Q2" sqref="Q2:S2"/>
    </sheetView>
  </sheetViews>
  <sheetFormatPr baseColWidth="10" defaultColWidth="11.42578125" defaultRowHeight="14.25" x14ac:dyDescent="0.2"/>
  <cols>
    <col min="1" max="8" width="4.85546875" style="1" customWidth="1"/>
    <col min="9" max="9" width="6.7109375" style="1" customWidth="1"/>
    <col min="10" max="19" width="4.85546875" style="1" customWidth="1"/>
    <col min="20" max="16384" width="11.42578125" style="1"/>
  </cols>
  <sheetData>
    <row r="1" spans="1:19" ht="21" customHeight="1" x14ac:dyDescent="0.2">
      <c r="A1" s="101" t="s">
        <v>0</v>
      </c>
      <c r="B1" s="102"/>
      <c r="C1" s="102"/>
      <c r="D1" s="102"/>
      <c r="E1" s="102"/>
      <c r="F1" s="11"/>
      <c r="G1" s="11"/>
      <c r="H1" s="103" t="s">
        <v>48</v>
      </c>
      <c r="I1" s="103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 ht="23.25" customHeight="1" x14ac:dyDescent="0.2">
      <c r="A2" s="62" t="s">
        <v>1</v>
      </c>
      <c r="B2" s="63"/>
      <c r="C2" s="63"/>
      <c r="D2" s="63"/>
      <c r="E2" s="59"/>
      <c r="F2" s="59"/>
      <c r="G2" s="59"/>
      <c r="H2" s="59"/>
      <c r="I2" s="60" t="s">
        <v>2</v>
      </c>
      <c r="J2" s="73" t="str" cm="1">
        <f t="array" aca="1" ref="J2" ca="1">MID(CELL("dateiname",J2),FIND("]",CELL("dateiname",J2))+4,31)</f>
        <v xml:space="preserve"> 228</v>
      </c>
      <c r="K2" s="73"/>
      <c r="L2" s="59"/>
      <c r="M2" s="59"/>
      <c r="N2" s="59"/>
      <c r="O2" s="104" t="s">
        <v>3</v>
      </c>
      <c r="P2" s="104"/>
      <c r="Q2" s="105">
        <v>45789</v>
      </c>
      <c r="R2" s="106"/>
      <c r="S2" s="107"/>
    </row>
    <row r="3" spans="1:19" s="13" customFormat="1" ht="28.5" customHeight="1" x14ac:dyDescent="0.25">
      <c r="A3" s="108" t="s">
        <v>4</v>
      </c>
      <c r="B3" s="109"/>
      <c r="C3" s="110" t="s">
        <v>51</v>
      </c>
      <c r="D3" s="110"/>
      <c r="E3" s="110"/>
      <c r="F3" s="110"/>
      <c r="G3" s="110"/>
      <c r="H3" s="110"/>
      <c r="I3" s="110"/>
      <c r="J3" s="110"/>
      <c r="K3" s="110"/>
      <c r="L3" s="15"/>
      <c r="S3" s="14"/>
    </row>
    <row r="4" spans="1:19" x14ac:dyDescent="0.2">
      <c r="A4" s="88" t="s">
        <v>5</v>
      </c>
      <c r="B4" s="89"/>
      <c r="C4" s="90" t="s">
        <v>49</v>
      </c>
      <c r="D4" s="90"/>
      <c r="E4" s="65" t="s">
        <v>6</v>
      </c>
      <c r="F4" s="55" t="s">
        <v>50</v>
      </c>
      <c r="G4" s="64" t="s">
        <v>7</v>
      </c>
      <c r="H4" s="74" t="s">
        <v>54</v>
      </c>
      <c r="I4" s="66" t="s">
        <v>8</v>
      </c>
      <c r="J4" s="90" t="s">
        <v>55</v>
      </c>
      <c r="K4" s="90"/>
      <c r="L4" s="90"/>
      <c r="M4" s="91" t="s">
        <v>9</v>
      </c>
      <c r="N4" s="91"/>
      <c r="O4" s="90" t="s">
        <v>10</v>
      </c>
      <c r="P4" s="90"/>
      <c r="Q4" s="90"/>
      <c r="R4" s="90"/>
      <c r="S4" s="92"/>
    </row>
    <row r="5" spans="1:19" x14ac:dyDescent="0.2">
      <c r="A5" s="88" t="s">
        <v>5</v>
      </c>
      <c r="B5" s="89"/>
      <c r="C5" s="90" t="s">
        <v>49</v>
      </c>
      <c r="D5" s="90"/>
      <c r="E5" s="65" t="s">
        <v>6</v>
      </c>
      <c r="F5" s="55" t="s">
        <v>52</v>
      </c>
      <c r="G5" s="64" t="s">
        <v>7</v>
      </c>
      <c r="H5" s="74" t="s">
        <v>54</v>
      </c>
      <c r="I5" s="66" t="s">
        <v>8</v>
      </c>
      <c r="J5" s="90" t="s">
        <v>55</v>
      </c>
      <c r="K5" s="90"/>
      <c r="L5" s="90"/>
      <c r="M5" s="91" t="s">
        <v>9</v>
      </c>
      <c r="N5" s="91"/>
      <c r="O5" s="90" t="s">
        <v>10</v>
      </c>
      <c r="P5" s="90"/>
      <c r="Q5" s="90"/>
      <c r="R5" s="90"/>
      <c r="S5" s="92"/>
    </row>
    <row r="6" spans="1:19" x14ac:dyDescent="0.2">
      <c r="A6" s="88" t="s">
        <v>5</v>
      </c>
      <c r="B6" s="89"/>
      <c r="C6" s="90" t="s">
        <v>49</v>
      </c>
      <c r="D6" s="90"/>
      <c r="E6" s="65" t="s">
        <v>6</v>
      </c>
      <c r="F6" s="55" t="s">
        <v>53</v>
      </c>
      <c r="G6" s="64" t="s">
        <v>7</v>
      </c>
      <c r="H6" s="74" t="s">
        <v>54</v>
      </c>
      <c r="I6" s="66" t="s">
        <v>8</v>
      </c>
      <c r="J6" s="90" t="s">
        <v>55</v>
      </c>
      <c r="K6" s="90"/>
      <c r="L6" s="90"/>
      <c r="M6" s="91" t="s">
        <v>9</v>
      </c>
      <c r="N6" s="91"/>
      <c r="O6" s="90" t="s">
        <v>10</v>
      </c>
      <c r="P6" s="90"/>
      <c r="Q6" s="90"/>
      <c r="R6" s="90"/>
      <c r="S6" s="92"/>
    </row>
    <row r="7" spans="1:19" ht="6" customHeight="1" x14ac:dyDescent="0.2">
      <c r="B7" s="16"/>
      <c r="S7" s="5"/>
    </row>
    <row r="8" spans="1:19" s="13" customFormat="1" ht="17.100000000000001" customHeight="1" x14ac:dyDescent="0.25">
      <c r="A8" s="93" t="s">
        <v>11</v>
      </c>
      <c r="B8" s="94"/>
      <c r="C8" s="11"/>
      <c r="D8" s="17"/>
      <c r="E8" s="18" t="b">
        <v>0</v>
      </c>
      <c r="F8" s="19" t="s">
        <v>12</v>
      </c>
      <c r="G8" s="11"/>
      <c r="H8" s="11"/>
      <c r="I8" s="19" t="s">
        <v>14</v>
      </c>
      <c r="J8" s="11"/>
      <c r="K8" s="11"/>
      <c r="L8" s="18" t="b">
        <v>0</v>
      </c>
      <c r="M8" s="19" t="s">
        <v>16</v>
      </c>
      <c r="N8" s="11"/>
      <c r="O8" s="11"/>
      <c r="P8" s="20" t="s">
        <v>19</v>
      </c>
      <c r="Q8" s="11"/>
      <c r="R8" s="24" t="s">
        <v>20</v>
      </c>
      <c r="S8" s="12" t="s">
        <v>18</v>
      </c>
    </row>
    <row r="9" spans="1:19" s="13" customFormat="1" ht="17.100000000000001" customHeight="1" x14ac:dyDescent="0.25">
      <c r="A9" s="95"/>
      <c r="B9" s="96"/>
      <c r="C9" s="21"/>
      <c r="D9" s="21"/>
      <c r="E9" s="22" t="b">
        <v>0</v>
      </c>
      <c r="F9" s="23" t="s">
        <v>13</v>
      </c>
      <c r="G9" s="21"/>
      <c r="H9" s="21"/>
      <c r="I9" s="23" t="s">
        <v>15</v>
      </c>
      <c r="J9" s="21"/>
      <c r="K9" s="21"/>
      <c r="L9" s="22" t="b">
        <v>1</v>
      </c>
      <c r="M9" s="97" t="s">
        <v>17</v>
      </c>
      <c r="N9" s="97"/>
      <c r="O9" s="97"/>
      <c r="P9" s="97"/>
      <c r="Q9" s="97"/>
      <c r="R9" s="97"/>
      <c r="S9" s="98"/>
    </row>
    <row r="10" spans="1:19" ht="7.5" customHeight="1" x14ac:dyDescent="0.2">
      <c r="A10" s="4"/>
      <c r="S10" s="5"/>
    </row>
    <row r="11" spans="1:19" x14ac:dyDescent="0.2">
      <c r="A11" s="31" t="s">
        <v>37</v>
      </c>
      <c r="B11" s="17"/>
      <c r="C11" s="17"/>
      <c r="D11" s="17"/>
      <c r="E11" s="17"/>
      <c r="F11" s="32"/>
      <c r="G11" s="99">
        <f>F13</f>
        <v>71</v>
      </c>
      <c r="H11" s="99"/>
      <c r="I11" s="33"/>
      <c r="J11" s="34"/>
      <c r="K11" s="2"/>
      <c r="L11" s="17" t="s">
        <v>21</v>
      </c>
      <c r="M11" s="35"/>
      <c r="N11" s="35"/>
      <c r="O11" s="17"/>
      <c r="P11" s="100" t="s">
        <v>22</v>
      </c>
      <c r="Q11" s="100"/>
      <c r="R11" s="100"/>
      <c r="S11" s="3"/>
    </row>
    <row r="12" spans="1:19" x14ac:dyDescent="0.2">
      <c r="A12" s="36"/>
      <c r="B12" s="37"/>
      <c r="C12" s="37"/>
      <c r="D12" s="37"/>
      <c r="E12" s="37"/>
      <c r="F12" s="25"/>
      <c r="G12" s="25"/>
      <c r="H12" s="25"/>
      <c r="I12" s="25"/>
      <c r="J12" s="25"/>
      <c r="K12" s="37"/>
      <c r="L12" s="38"/>
      <c r="M12" s="38"/>
      <c r="N12" s="38"/>
      <c r="O12" s="25"/>
      <c r="P12" s="25"/>
      <c r="Q12" s="25"/>
      <c r="R12" s="25"/>
      <c r="S12" s="5"/>
    </row>
    <row r="13" spans="1:19" s="28" customFormat="1" ht="11.25" x14ac:dyDescent="0.25">
      <c r="A13" s="30">
        <v>1</v>
      </c>
      <c r="B13" s="26" t="s">
        <v>23</v>
      </c>
      <c r="D13" s="39">
        <f>IF(A13&gt;0,A13*9,"0")</f>
        <v>9</v>
      </c>
      <c r="E13" s="39" t="s">
        <v>24</v>
      </c>
      <c r="F13" s="30">
        <v>71</v>
      </c>
      <c r="G13" s="26" t="s">
        <v>25</v>
      </c>
      <c r="H13" s="40"/>
      <c r="I13" s="39">
        <f>IF(F13&gt;0,F13*9,"0")</f>
        <v>639</v>
      </c>
      <c r="J13" s="39" t="s">
        <v>24</v>
      </c>
      <c r="K13" s="30">
        <v>0</v>
      </c>
      <c r="L13" s="27" t="s">
        <v>26</v>
      </c>
      <c r="M13" s="27"/>
      <c r="N13" s="39" t="str">
        <f>IF(K13&gt;0,K13*9,"0")</f>
        <v>0</v>
      </c>
      <c r="O13" s="29" t="s">
        <v>24</v>
      </c>
      <c r="P13" s="30"/>
      <c r="Q13" s="29" t="s">
        <v>27</v>
      </c>
      <c r="R13" s="29"/>
      <c r="S13" s="41"/>
    </row>
    <row r="14" spans="1:19" s="28" customFormat="1" ht="11.25" x14ac:dyDescent="0.25">
      <c r="A14" s="30">
        <v>1</v>
      </c>
      <c r="B14" s="26" t="s">
        <v>28</v>
      </c>
      <c r="D14" s="39">
        <f>IF(A14&gt;0,A14*9,"0")</f>
        <v>9</v>
      </c>
      <c r="E14" s="39" t="s">
        <v>24</v>
      </c>
      <c r="F14" s="30">
        <v>0</v>
      </c>
      <c r="G14" s="26" t="s">
        <v>29</v>
      </c>
      <c r="H14" s="39"/>
      <c r="I14" s="39" t="str">
        <f t="shared" ref="I14:I16" si="0">IF(F14&gt;0,F14*9,"0")</f>
        <v>0</v>
      </c>
      <c r="J14" s="39" t="s">
        <v>24</v>
      </c>
      <c r="K14" s="30">
        <v>0</v>
      </c>
      <c r="L14" s="27" t="s">
        <v>30</v>
      </c>
      <c r="M14" s="27"/>
      <c r="N14" s="39" t="str">
        <f>IF(K14&gt;0,K14*9,"0")</f>
        <v>0</v>
      </c>
      <c r="O14" s="29" t="s">
        <v>24</v>
      </c>
      <c r="P14" s="30">
        <v>0</v>
      </c>
      <c r="Q14" s="29"/>
      <c r="R14" s="39" t="str">
        <f>IF(P14&gt;0,P14*9,"0")</f>
        <v>0</v>
      </c>
      <c r="S14" s="42" t="s">
        <v>24</v>
      </c>
    </row>
    <row r="15" spans="1:19" s="28" customFormat="1" ht="11.25" x14ac:dyDescent="0.25">
      <c r="A15" s="30">
        <v>1</v>
      </c>
      <c r="B15" s="26" t="s">
        <v>31</v>
      </c>
      <c r="D15" s="39">
        <f>IF(A15&gt;0,A15*9,"0")</f>
        <v>9</v>
      </c>
      <c r="E15" s="39" t="s">
        <v>24</v>
      </c>
      <c r="F15" s="30">
        <v>0</v>
      </c>
      <c r="G15" s="26" t="s">
        <v>32</v>
      </c>
      <c r="H15" s="39"/>
      <c r="I15" s="39" t="str">
        <f t="shared" si="0"/>
        <v>0</v>
      </c>
      <c r="J15" s="39" t="s">
        <v>24</v>
      </c>
      <c r="K15" s="30">
        <v>0</v>
      </c>
      <c r="L15" s="43" t="s">
        <v>33</v>
      </c>
      <c r="M15" s="43"/>
      <c r="N15" s="39" t="str">
        <f>IF(K15&gt;0,K15*9,"0")</f>
        <v>0</v>
      </c>
      <c r="O15" s="29" t="s">
        <v>24</v>
      </c>
      <c r="P15" s="30">
        <v>0</v>
      </c>
      <c r="Q15" s="29"/>
      <c r="R15" s="39" t="str">
        <f>IF(P15&gt;0,P15*9,"0")</f>
        <v>0</v>
      </c>
      <c r="S15" s="42" t="s">
        <v>24</v>
      </c>
    </row>
    <row r="16" spans="1:19" s="28" customFormat="1" ht="11.25" x14ac:dyDescent="0.25">
      <c r="A16" s="44">
        <v>0</v>
      </c>
      <c r="B16" s="45" t="s">
        <v>34</v>
      </c>
      <c r="C16" s="46"/>
      <c r="D16" s="47" t="str">
        <f>IF(A16&gt;0,A16*9,"0")</f>
        <v>0</v>
      </c>
      <c r="E16" s="47" t="s">
        <v>24</v>
      </c>
      <c r="F16" s="44">
        <v>0</v>
      </c>
      <c r="G16" s="48" t="s">
        <v>35</v>
      </c>
      <c r="H16" s="47"/>
      <c r="I16" s="47" t="str">
        <f t="shared" si="0"/>
        <v>0</v>
      </c>
      <c r="J16" s="47" t="s">
        <v>24</v>
      </c>
      <c r="K16" s="44">
        <v>0</v>
      </c>
      <c r="L16" s="49" t="s">
        <v>36</v>
      </c>
      <c r="M16" s="49"/>
      <c r="N16" s="47" t="str">
        <f>IF(K16&gt;0,K16*9,"0")</f>
        <v>0</v>
      </c>
      <c r="O16" s="50" t="s">
        <v>24</v>
      </c>
      <c r="P16" s="44">
        <v>0</v>
      </c>
      <c r="Q16" s="51"/>
      <c r="R16" s="47" t="str">
        <f>IF(P16&gt;0,P16*9,"0")</f>
        <v>0</v>
      </c>
      <c r="S16" s="52" t="s">
        <v>24</v>
      </c>
    </row>
    <row r="17" spans="1:19" ht="6" customHeight="1" x14ac:dyDescent="0.2"/>
    <row r="18" spans="1:19" x14ac:dyDescent="0.2">
      <c r="A18" s="67" t="s">
        <v>41</v>
      </c>
      <c r="B18" s="53"/>
      <c r="C18" s="53"/>
      <c r="D18" s="53"/>
      <c r="E18" s="54"/>
      <c r="F18" s="56" t="s">
        <v>38</v>
      </c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8"/>
    </row>
    <row r="19" spans="1:19" x14ac:dyDescent="0.2">
      <c r="A19" s="78" t="s">
        <v>56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80"/>
    </row>
    <row r="20" spans="1:19" x14ac:dyDescent="0.2">
      <c r="A20" s="78" t="s">
        <v>59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80"/>
    </row>
    <row r="21" spans="1:19" x14ac:dyDescent="0.2">
      <c r="A21" s="78" t="s">
        <v>57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80"/>
    </row>
    <row r="22" spans="1:19" x14ac:dyDescent="0.2">
      <c r="A22" s="78" t="s">
        <v>58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80"/>
    </row>
    <row r="23" spans="1:19" x14ac:dyDescent="0.2">
      <c r="A23" s="78" t="s">
        <v>60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80"/>
    </row>
    <row r="24" spans="1:19" x14ac:dyDescent="0.2">
      <c r="A24" s="78" t="s">
        <v>63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80"/>
    </row>
    <row r="25" spans="1:19" x14ac:dyDescent="0.2">
      <c r="A25" s="78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80"/>
    </row>
    <row r="26" spans="1:19" x14ac:dyDescent="0.2">
      <c r="A26" s="78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80"/>
    </row>
    <row r="27" spans="1:19" x14ac:dyDescent="0.2">
      <c r="A27" s="85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7"/>
    </row>
    <row r="28" spans="1:19" ht="5.25" customHeight="1" x14ac:dyDescent="0.2"/>
    <row r="29" spans="1:19" x14ac:dyDescent="0.2">
      <c r="A29" s="69" t="s">
        <v>39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3"/>
    </row>
    <row r="30" spans="1:19" x14ac:dyDescent="0.2">
      <c r="A30" s="78" t="s">
        <v>61</v>
      </c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80"/>
    </row>
    <row r="31" spans="1:19" x14ac:dyDescent="0.2">
      <c r="A31" s="78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80"/>
    </row>
    <row r="32" spans="1:19" x14ac:dyDescent="0.2">
      <c r="A32" s="78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80"/>
    </row>
    <row r="33" spans="1:19" x14ac:dyDescent="0.2">
      <c r="A33" s="78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80"/>
    </row>
    <row r="34" spans="1:19" x14ac:dyDescent="0.2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80"/>
    </row>
    <row r="35" spans="1:19" x14ac:dyDescent="0.2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7"/>
    </row>
    <row r="36" spans="1:19" ht="4.5" customHeight="1" x14ac:dyDescent="0.2"/>
    <row r="37" spans="1:19" x14ac:dyDescent="0.2">
      <c r="A37" s="69" t="s">
        <v>40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3"/>
    </row>
    <row r="38" spans="1:19" x14ac:dyDescent="0.2">
      <c r="A38" s="78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80"/>
    </row>
    <row r="39" spans="1:19" x14ac:dyDescent="0.2">
      <c r="A39" s="75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7"/>
    </row>
    <row r="40" spans="1:19" ht="4.5" customHeight="1" x14ac:dyDescent="0.2"/>
    <row r="41" spans="1:19" x14ac:dyDescent="0.2">
      <c r="A41" s="69" t="s">
        <v>42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</row>
    <row r="42" spans="1:19" x14ac:dyDescent="0.2">
      <c r="A42" s="78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80"/>
    </row>
    <row r="43" spans="1:19" x14ac:dyDescent="0.2">
      <c r="A43" s="75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7"/>
    </row>
    <row r="44" spans="1:19" ht="6" customHeight="1" x14ac:dyDescent="0.2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</row>
    <row r="45" spans="1:19" x14ac:dyDescent="0.2">
      <c r="A45" s="61" t="s">
        <v>43</v>
      </c>
      <c r="B45" s="10"/>
      <c r="C45" s="81"/>
      <c r="D45" s="82"/>
      <c r="E45" s="83"/>
      <c r="F45" s="81"/>
      <c r="G45" s="82"/>
      <c r="H45" s="82"/>
      <c r="I45" s="83"/>
      <c r="J45" s="61" t="s">
        <v>43</v>
      </c>
      <c r="K45" s="10"/>
      <c r="L45" s="81" t="s">
        <v>44</v>
      </c>
      <c r="M45" s="82"/>
      <c r="N45" s="83"/>
      <c r="O45" s="84">
        <f>Q2</f>
        <v>45789</v>
      </c>
      <c r="P45" s="82"/>
      <c r="Q45" s="82"/>
      <c r="R45" s="82"/>
      <c r="S45" s="83"/>
    </row>
    <row r="46" spans="1:19" x14ac:dyDescent="0.2">
      <c r="A46" s="72" t="s">
        <v>45</v>
      </c>
      <c r="B46" s="2"/>
      <c r="C46" s="2"/>
      <c r="D46" s="2"/>
      <c r="E46" s="2"/>
      <c r="F46" s="2"/>
      <c r="G46" s="2"/>
      <c r="H46" s="2"/>
      <c r="I46" s="3"/>
      <c r="J46" s="72" t="s">
        <v>46</v>
      </c>
      <c r="K46" s="2"/>
      <c r="L46" s="2"/>
      <c r="M46" s="2"/>
      <c r="N46" s="2"/>
      <c r="O46" s="2"/>
      <c r="P46" s="2"/>
      <c r="Q46" s="2"/>
      <c r="R46" s="2"/>
      <c r="S46" s="3"/>
    </row>
    <row r="47" spans="1:19" x14ac:dyDescent="0.2">
      <c r="A47" s="70"/>
      <c r="B47" s="9"/>
      <c r="C47" s="9"/>
      <c r="D47" s="9"/>
      <c r="E47" s="9"/>
      <c r="F47" s="9"/>
      <c r="G47" s="9"/>
      <c r="H47" s="9"/>
      <c r="I47" s="71"/>
      <c r="J47" s="70"/>
      <c r="K47" s="9"/>
      <c r="L47" s="9"/>
      <c r="M47" s="9"/>
      <c r="N47" s="9"/>
      <c r="O47" s="9"/>
      <c r="P47" s="9"/>
      <c r="Q47" s="9"/>
      <c r="R47" s="9"/>
      <c r="S47" s="71"/>
    </row>
    <row r="48" spans="1:19" x14ac:dyDescent="0.2">
      <c r="A48" s="70"/>
      <c r="B48" s="9"/>
      <c r="C48" s="9"/>
      <c r="D48" s="9"/>
      <c r="E48" s="9"/>
      <c r="F48" s="9"/>
      <c r="G48" s="9"/>
      <c r="H48" s="9"/>
      <c r="I48" s="71"/>
      <c r="J48" s="70"/>
      <c r="K48" s="9"/>
      <c r="L48" s="9"/>
      <c r="M48" s="9"/>
      <c r="N48" s="9"/>
      <c r="O48" s="9"/>
      <c r="P48" s="9"/>
      <c r="Q48" s="9"/>
      <c r="R48" s="9"/>
      <c r="S48" s="71"/>
    </row>
    <row r="49" spans="1:19" x14ac:dyDescent="0.2">
      <c r="A49" s="70"/>
      <c r="B49" s="9"/>
      <c r="C49" s="9"/>
      <c r="D49" s="9"/>
      <c r="E49" s="9"/>
      <c r="F49" s="9"/>
      <c r="G49" s="9"/>
      <c r="H49" s="9"/>
      <c r="I49" s="71"/>
      <c r="J49" s="70"/>
      <c r="K49" s="9"/>
      <c r="L49" s="9"/>
      <c r="M49" s="9"/>
      <c r="N49" s="9"/>
      <c r="O49" s="9"/>
      <c r="P49" s="9"/>
      <c r="Q49" s="9"/>
      <c r="R49" s="9"/>
      <c r="S49" s="71"/>
    </row>
    <row r="50" spans="1:19" x14ac:dyDescent="0.2">
      <c r="A50" s="6"/>
      <c r="B50" s="7"/>
      <c r="C50" s="7"/>
      <c r="D50" s="7"/>
      <c r="E50" s="7"/>
      <c r="F50" s="7"/>
      <c r="G50" s="7"/>
      <c r="H50" s="7"/>
      <c r="I50" s="8"/>
      <c r="J50" s="6"/>
      <c r="K50" s="7"/>
      <c r="L50" s="7"/>
      <c r="M50" s="7"/>
      <c r="N50" s="7"/>
      <c r="O50" s="7"/>
      <c r="P50" s="7"/>
      <c r="Q50" s="7"/>
      <c r="R50" s="7"/>
      <c r="S50" s="8"/>
    </row>
  </sheetData>
  <mergeCells count="48">
    <mergeCell ref="A1:E1"/>
    <mergeCell ref="H1:I1"/>
    <mergeCell ref="Q2:S2"/>
    <mergeCell ref="O2:P2"/>
    <mergeCell ref="C3:K3"/>
    <mergeCell ref="A3:B3"/>
    <mergeCell ref="A8:B9"/>
    <mergeCell ref="C5:D5"/>
    <mergeCell ref="M5:N5"/>
    <mergeCell ref="O5:S5"/>
    <mergeCell ref="O4:S4"/>
    <mergeCell ref="C4:D4"/>
    <mergeCell ref="A4:B4"/>
    <mergeCell ref="M4:N4"/>
    <mergeCell ref="J4:L4"/>
    <mergeCell ref="A5:B5"/>
    <mergeCell ref="J5:L5"/>
    <mergeCell ref="A6:B6"/>
    <mergeCell ref="P11:R11"/>
    <mergeCell ref="G11:H11"/>
    <mergeCell ref="C6:D6"/>
    <mergeCell ref="M6:N6"/>
    <mergeCell ref="O6:S6"/>
    <mergeCell ref="M9:S9"/>
    <mergeCell ref="J6:L6"/>
    <mergeCell ref="A20:S20"/>
    <mergeCell ref="A19:S19"/>
    <mergeCell ref="A21:S21"/>
    <mergeCell ref="A22:S22"/>
    <mergeCell ref="A23:S23"/>
    <mergeCell ref="A39:S39"/>
    <mergeCell ref="A24:S24"/>
    <mergeCell ref="A25:S25"/>
    <mergeCell ref="A26:S26"/>
    <mergeCell ref="A27:S27"/>
    <mergeCell ref="A30:S30"/>
    <mergeCell ref="A31:S31"/>
    <mergeCell ref="A32:S32"/>
    <mergeCell ref="A33:S33"/>
    <mergeCell ref="A34:S34"/>
    <mergeCell ref="A35:S35"/>
    <mergeCell ref="A38:S38"/>
    <mergeCell ref="A42:S42"/>
    <mergeCell ref="A43:S43"/>
    <mergeCell ref="C45:E45"/>
    <mergeCell ref="F45:I45"/>
    <mergeCell ref="L45:N45"/>
    <mergeCell ref="O45:S45"/>
  </mergeCells>
  <pageMargins left="0.59055118110236227" right="0.19685039370078741" top="1.3779527559055118" bottom="0.74803149606299213" header="0.31496062992125984" footer="0.31496062992125984"/>
  <pageSetup paperSize="9" orientation="portrait" r:id="rId1"/>
  <headerFooter>
    <oddHeader>&amp;L&amp;"Arial,Standard"&amp;10inntro Mintura GmbH
Inhausen 1a
85778 Haimhausen
office@inntro.de
www.inntro.de&amp;R&amp;G</oddHeader>
    <oddFooter xml:space="preserve">&amp;C&amp;"Arial,Standard"&amp;9rhtb: projekt de gmbh, Valeska-Gert-Straße 1, 10243 Berlin 
Eingetragen beim Amtsgericht Charlottenburg, HRB 239576 B, DE 350317480, Steuer-Nr. 37/491/50666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BTB 233</vt:lpstr>
      <vt:lpstr>BTB 232</vt:lpstr>
      <vt:lpstr>BTB 231</vt:lpstr>
      <vt:lpstr>BTB 230</vt:lpstr>
      <vt:lpstr>BTB 229</vt:lpstr>
      <vt:lpstr>BTB 228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Harms</dc:creator>
  <cp:lastModifiedBy>inntro GmbH</cp:lastModifiedBy>
  <cp:lastPrinted>2026-01-20T13:55:48Z</cp:lastPrinted>
  <dcterms:created xsi:type="dcterms:W3CDTF">2025-03-27T10:49:24Z</dcterms:created>
  <dcterms:modified xsi:type="dcterms:W3CDTF">2026-01-20T14:01:07Z</dcterms:modified>
</cp:coreProperties>
</file>